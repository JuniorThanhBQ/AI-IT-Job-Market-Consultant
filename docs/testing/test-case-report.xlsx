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isune_Alvarez\Desktop\MyProjects\AI-IT-Job-Market-Consultant\docs\testing\"/>
    </mc:Choice>
  </mc:AlternateContent>
  <xr:revisionPtr revIDLastSave="0" documentId="13_ncr:1_{0D4F2874-DBCA-45D9-A65F-A94AEC04AE69}" xr6:coauthVersionLast="47" xr6:coauthVersionMax="47" xr10:uidLastSave="{00000000-0000-0000-0000-000000000000}"/>
  <bookViews>
    <workbookView xWindow="-120" yWindow="-120" windowWidth="20730" windowHeight="11040" tabRatio="821" activeTab="4" xr2:uid="{00000000-000D-0000-FFFF-FFFF00000000}"/>
  </bookViews>
  <sheets>
    <sheet name="Test Cover" sheetId="97" r:id="rId1"/>
    <sheet name="Test User Module" sheetId="122" r:id="rId2"/>
    <sheet name="Test Temp Module" sheetId="123" r:id="rId3"/>
    <sheet name="System Test " sheetId="125" r:id="rId4"/>
    <sheet name="Test case report" sheetId="107" r:id="rId5"/>
  </sheets>
  <externalReferences>
    <externalReference r:id="rId6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07" l="1"/>
  <c r="F7" i="125"/>
  <c r="D7" i="125"/>
  <c r="B7" i="125"/>
  <c r="F6" i="125"/>
  <c r="D6" i="125"/>
  <c r="B6" i="125"/>
  <c r="F7" i="123"/>
  <c r="D7" i="123"/>
  <c r="B7" i="123"/>
  <c r="F6" i="123"/>
  <c r="D6" i="123"/>
  <c r="B6" i="123"/>
  <c r="F7" i="122" l="1"/>
  <c r="K10" i="107" s="1"/>
  <c r="K12" i="107"/>
  <c r="H12" i="107"/>
  <c r="E12" i="107"/>
  <c r="F12" i="107"/>
  <c r="G12" i="107"/>
  <c r="D12" i="107"/>
  <c r="J12" i="107"/>
  <c r="J11" i="107"/>
  <c r="J10" i="107"/>
  <c r="K11" i="107"/>
  <c r="H11" i="107"/>
  <c r="E11" i="107"/>
  <c r="F11" i="107"/>
  <c r="G11" i="107"/>
  <c r="D11" i="107"/>
  <c r="F6" i="122"/>
  <c r="B7" i="122"/>
  <c r="B6" i="122"/>
  <c r="D10" i="107" s="1"/>
  <c r="I10" i="107"/>
  <c r="I11" i="107"/>
  <c r="I12" i="107"/>
  <c r="J13" i="107" l="1"/>
  <c r="D13" i="107"/>
  <c r="K13" i="107"/>
  <c r="I13" i="107"/>
  <c r="C12" i="107"/>
  <c r="C11" i="107"/>
  <c r="F10" i="107"/>
  <c r="F13" i="107" s="1"/>
  <c r="D7" i="122"/>
  <c r="H10" i="107" s="1"/>
  <c r="H13" i="107" s="1"/>
  <c r="D6" i="122"/>
  <c r="G10" i="107" s="1"/>
  <c r="G13" i="107" s="1"/>
  <c r="E10" i="107"/>
  <c r="E13" i="107" s="1"/>
  <c r="C10" i="107"/>
  <c r="D17" i="107" l="1"/>
  <c r="D18" i="107"/>
  <c r="D20" i="107"/>
  <c r="D19" i="107"/>
  <c r="E19" i="107"/>
  <c r="E20" i="107"/>
</calcChain>
</file>

<file path=xl/sharedStrings.xml><?xml version="1.0" encoding="utf-8"?>
<sst xmlns="http://schemas.openxmlformats.org/spreadsheetml/2006/main" count="114" uniqueCount="53">
  <si>
    <t>Fail</t>
  </si>
  <si>
    <t>TEST CASE</t>
  </si>
  <si>
    <t>Pass</t>
  </si>
  <si>
    <t>Pending</t>
  </si>
  <si>
    <t>Status</t>
  </si>
  <si>
    <t>0.1</t>
  </si>
  <si>
    <t>AI Pass</t>
  </si>
  <si>
    <t>AI Fail</t>
  </si>
  <si>
    <t>AI Pending</t>
  </si>
  <si>
    <t>AI Status</t>
  </si>
  <si>
    <t>Tester</t>
  </si>
  <si>
    <t>AI</t>
  </si>
  <si>
    <t>-</t>
  </si>
  <si>
    <t>Postman và Selenium</t>
  </si>
  <si>
    <t>TEST COVER</t>
  </si>
  <si>
    <t>Version</t>
  </si>
  <si>
    <t>Updated date:</t>
  </si>
  <si>
    <t>Version:</t>
  </si>
  <si>
    <t>Project:</t>
  </si>
  <si>
    <t>AI IT Job Market Consultant</t>
  </si>
  <si>
    <t>V. T. Thanh</t>
  </si>
  <si>
    <t>Test report template initiation</t>
  </si>
  <si>
    <t>Effective date</t>
  </si>
  <si>
    <t>Module</t>
  </si>
  <si>
    <t>Reviewer</t>
  </si>
  <si>
    <t>Publisher</t>
  </si>
  <si>
    <t>Source of reference</t>
  </si>
  <si>
    <t>Description</t>
  </si>
  <si>
    <t>test-case-report.xlsx</t>
  </si>
  <si>
    <t>Module:</t>
  </si>
  <si>
    <t>User module</t>
  </si>
  <si>
    <t>Test environment:</t>
  </si>
  <si>
    <t>Total test case</t>
  </si>
  <si>
    <t>Test case ID</t>
  </si>
  <si>
    <t>Test case name</t>
  </si>
  <si>
    <t>Test case procedure</t>
  </si>
  <si>
    <t>Expected results</t>
  </si>
  <si>
    <t>Actual results</t>
  </si>
  <si>
    <t>Test date</t>
  </si>
  <si>
    <t>AI test results</t>
  </si>
  <si>
    <t>Note</t>
  </si>
  <si>
    <t>TEST CASE REPORT</t>
  </si>
  <si>
    <t>Summary</t>
  </si>
  <si>
    <t>Updated date</t>
  </si>
  <si>
    <t>Number of failed cases</t>
  </si>
  <si>
    <t>Coverage</t>
  </si>
  <si>
    <t>Case before AI</t>
  </si>
  <si>
    <t>Case after AI</t>
  </si>
  <si>
    <t xml:space="preserve">This is a report template </t>
  </si>
  <si>
    <t>Temp</t>
  </si>
  <si>
    <t>System test</t>
  </si>
  <si>
    <t xml:space="preserve"> Ordinal number</t>
  </si>
  <si>
    <t>Revision History: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</si>
</sst>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.000"/>
    <numFmt numFmtId="166" formatCode="[$-F800]dddd\,\ mmmm\ dd\,\ yyyy"/>
    <numFmt numFmtId="169" formatCode="[$-409]mmmm\ d\,\ yyyy;@"/>
  </numFmts>
  <fonts count="21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charset val="128"/>
    </font>
    <font>
      <u/>
      <sz val="11"/>
      <color theme="10"/>
      <name val="ＭＳ Ｐゴシック"/>
      <charset val="128"/>
    </font>
    <font>
      <sz val="10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b/>
      <sz val="16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1"/>
      <color indexed="60"/>
      <name val="Arial"/>
      <family val="2"/>
      <charset val="163"/>
      <scheme val="minor"/>
    </font>
    <font>
      <sz val="11"/>
      <color indexed="8"/>
      <name val="Arial"/>
      <family val="2"/>
      <charset val="163"/>
      <scheme val="minor"/>
    </font>
    <font>
      <b/>
      <sz val="11"/>
      <color indexed="9"/>
      <name val="Arial"/>
      <family val="2"/>
      <charset val="163"/>
      <scheme val="minor"/>
    </font>
    <font>
      <b/>
      <sz val="11"/>
      <color indexed="8"/>
      <name val="Arial"/>
      <family val="2"/>
      <charset val="163"/>
      <scheme val="minor"/>
    </font>
    <font>
      <sz val="11"/>
      <color rgb="FFA5D6FF"/>
      <name val="Arial"/>
      <family val="2"/>
      <charset val="163"/>
      <scheme val="minor"/>
    </font>
    <font>
      <b/>
      <sz val="11"/>
      <name val="Arial"/>
      <family val="2"/>
      <charset val="163"/>
      <scheme val="minor"/>
    </font>
    <font>
      <sz val="11"/>
      <color indexed="9"/>
      <name val="Arial"/>
      <family val="2"/>
      <charset val="163"/>
      <scheme val="minor"/>
    </font>
    <font>
      <b/>
      <sz val="11"/>
      <color indexed="12"/>
      <name val="Arial"/>
      <family val="2"/>
      <charset val="163"/>
      <scheme val="minor"/>
    </font>
    <font>
      <b/>
      <u/>
      <sz val="11"/>
      <color theme="10"/>
      <name val="Arial"/>
      <family val="2"/>
      <charset val="163"/>
      <scheme val="minor"/>
    </font>
    <font>
      <b/>
      <u/>
      <sz val="11"/>
      <name val="Arial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" fillId="0" borderId="0" applyProtection="0"/>
    <xf numFmtId="0" fontId="3" fillId="0" borderId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0" fontId="9" fillId="0" borderId="0" xfId="1" applyFont="1"/>
    <xf numFmtId="0" fontId="8" fillId="0" borderId="0" xfId="0" applyFont="1" applyAlignment="1"/>
    <xf numFmtId="0" fontId="8" fillId="2" borderId="0" xfId="0" applyFont="1" applyFill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2" borderId="0" xfId="0" applyFont="1" applyFill="1"/>
    <xf numFmtId="0" fontId="11" fillId="0" borderId="0" xfId="0" applyFont="1"/>
    <xf numFmtId="0" fontId="8" fillId="2" borderId="0" xfId="0" applyFont="1" applyFill="1" applyAlignment="1">
      <alignment wrapText="1"/>
    </xf>
    <xf numFmtId="0" fontId="8" fillId="0" borderId="0" xfId="0" applyFont="1" applyAlignment="1">
      <alignment vertical="center" wrapText="1"/>
    </xf>
    <xf numFmtId="0" fontId="12" fillId="7" borderId="0" xfId="0" applyFont="1" applyFill="1"/>
    <xf numFmtId="0" fontId="12" fillId="0" borderId="0" xfId="0" applyFont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7" borderId="1" xfId="2" applyFont="1" applyFill="1" applyBorder="1" applyAlignment="1">
      <alignment horizontal="left" vertical="center" wrapText="1" indent="8"/>
    </xf>
    <xf numFmtId="0" fontId="8" fillId="0" borderId="1" xfId="0" applyFont="1" applyBorder="1"/>
    <xf numFmtId="0" fontId="12" fillId="0" borderId="1" xfId="0" applyFont="1" applyBorder="1" applyAlignment="1">
      <alignment horizontal="left" vertical="center" wrapText="1"/>
    </xf>
    <xf numFmtId="0" fontId="11" fillId="2" borderId="6" xfId="0" applyFont="1" applyFill="1" applyBorder="1"/>
    <xf numFmtId="0" fontId="11" fillId="2" borderId="2" xfId="0" applyFont="1" applyFill="1" applyBorder="1"/>
    <xf numFmtId="0" fontId="11" fillId="2" borderId="4" xfId="0" applyFont="1" applyFill="1" applyBorder="1"/>
    <xf numFmtId="0" fontId="16" fillId="0" borderId="0" xfId="1" applyFont="1"/>
    <xf numFmtId="0" fontId="8" fillId="0" borderId="0" xfId="1" applyFont="1"/>
    <xf numFmtId="164" fontId="8" fillId="0" borderId="0" xfId="1" applyNumberFormat="1" applyFont="1"/>
    <xf numFmtId="0" fontId="13" fillId="3" borderId="6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9" fontId="18" fillId="0" borderId="1" xfId="5" applyFont="1" applyBorder="1" applyAlignment="1">
      <alignment horizontal="center" vertical="center" wrapText="1"/>
    </xf>
    <xf numFmtId="9" fontId="18" fillId="0" borderId="3" xfId="5" applyFont="1" applyBorder="1" applyAlignment="1">
      <alignment horizontal="center" vertical="center" wrapText="1"/>
    </xf>
    <xf numFmtId="9" fontId="8" fillId="0" borderId="3" xfId="5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9" fontId="18" fillId="0" borderId="5" xfId="5" applyFont="1" applyBorder="1" applyAlignment="1">
      <alignment horizontal="center" vertical="center" wrapText="1"/>
    </xf>
    <xf numFmtId="9" fontId="18" fillId="0" borderId="7" xfId="5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/>
    </xf>
    <xf numFmtId="0" fontId="8" fillId="0" borderId="12" xfId="1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3" fillId="3" borderId="7" xfId="0" applyFont="1" applyFill="1" applyBorder="1" applyAlignment="1">
      <alignment horizontal="center" vertical="center"/>
    </xf>
    <xf numFmtId="166" fontId="19" fillId="0" borderId="7" xfId="4" applyNumberFormat="1" applyFont="1" applyBorder="1" applyAlignment="1">
      <alignment horizontal="left" vertical="center"/>
    </xf>
    <xf numFmtId="0" fontId="12" fillId="2" borderId="0" xfId="0" applyFont="1" applyFill="1" applyAlignment="1">
      <alignment wrapText="1"/>
    </xf>
    <xf numFmtId="0" fontId="12" fillId="0" borderId="0" xfId="0" applyFont="1"/>
    <xf numFmtId="0" fontId="12" fillId="2" borderId="0" xfId="0" applyFont="1" applyFill="1" applyBorder="1" applyAlignment="1">
      <alignment wrapText="1"/>
    </xf>
    <xf numFmtId="0" fontId="16" fillId="2" borderId="6" xfId="2" applyFont="1" applyFill="1" applyBorder="1" applyAlignment="1">
      <alignment horizontal="left" wrapText="1"/>
    </xf>
    <xf numFmtId="0" fontId="8" fillId="2" borderId="0" xfId="2" applyFont="1" applyFill="1" applyAlignment="1">
      <alignment horizontal="left" wrapText="1"/>
    </xf>
    <xf numFmtId="0" fontId="12" fillId="0" borderId="0" xfId="0" applyFont="1" applyFill="1"/>
    <xf numFmtId="0" fontId="16" fillId="2" borderId="2" xfId="2" applyFont="1" applyFill="1" applyBorder="1" applyAlignment="1">
      <alignment horizontal="left" vertical="center" wrapText="1"/>
    </xf>
    <xf numFmtId="0" fontId="8" fillId="2" borderId="0" xfId="2" applyFont="1" applyFill="1" applyAlignment="1">
      <alignment horizontal="left"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" borderId="0" xfId="0" applyFont="1" applyFill="1" applyAlignment="1">
      <alignment horizontal="center" wrapText="1"/>
    </xf>
    <xf numFmtId="1" fontId="12" fillId="2" borderId="0" xfId="0" applyNumberFormat="1" applyFont="1" applyFill="1" applyAlignment="1">
      <alignment horizontal="center" wrapText="1"/>
    </xf>
    <xf numFmtId="0" fontId="12" fillId="2" borderId="0" xfId="0" applyFont="1" applyFill="1" applyBorder="1" applyAlignment="1">
      <alignment horizontal="center" wrapText="1"/>
    </xf>
    <xf numFmtId="0" fontId="8" fillId="0" borderId="0" xfId="0" applyFont="1" applyFill="1"/>
    <xf numFmtId="0" fontId="12" fillId="0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1" fillId="0" borderId="0" xfId="0" applyFont="1"/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2" fillId="7" borderId="0" xfId="0" applyFont="1" applyFill="1" applyAlignment="1"/>
    <xf numFmtId="14" fontId="8" fillId="0" borderId="1" xfId="0" applyNumberFormat="1" applyFont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9" xfId="0" applyFont="1" applyBorder="1" applyAlignment="1">
      <alignment vertical="center"/>
    </xf>
    <xf numFmtId="1" fontId="8" fillId="0" borderId="20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/>
    </xf>
    <xf numFmtId="164" fontId="13" fillId="3" borderId="6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5" fontId="8" fillId="0" borderId="5" xfId="0" applyNumberFormat="1" applyFont="1" applyBorder="1" applyAlignment="1">
      <alignment horizontal="center" vertical="center"/>
    </xf>
    <xf numFmtId="0" fontId="10" fillId="0" borderId="7" xfId="4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" fontId="12" fillId="2" borderId="7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5" xfId="2" applyFont="1" applyFill="1" applyBorder="1" applyAlignment="1">
      <alignment horizontal="left" vertical="center" wrapText="1"/>
    </xf>
    <xf numFmtId="0" fontId="8" fillId="2" borderId="7" xfId="2" applyFont="1" applyFill="1" applyBorder="1" applyAlignment="1">
      <alignment horizontal="left" vertical="center" wrapText="1"/>
    </xf>
    <xf numFmtId="0" fontId="14" fillId="4" borderId="9" xfId="2" applyFont="1" applyFill="1" applyBorder="1" applyAlignment="1">
      <alignment horizontal="center" vertical="center" wrapText="1"/>
    </xf>
    <xf numFmtId="0" fontId="14" fillId="4" borderId="10" xfId="2" applyFont="1" applyFill="1" applyBorder="1" applyAlignment="1">
      <alignment horizontal="center" vertical="center" wrapText="1"/>
    </xf>
    <xf numFmtId="0" fontId="14" fillId="4" borderId="8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left" vertical="center" wrapText="1" indent="10"/>
    </xf>
    <xf numFmtId="0" fontId="14" fillId="4" borderId="10" xfId="2" applyFont="1" applyFill="1" applyBorder="1" applyAlignment="1">
      <alignment horizontal="left" vertical="center" wrapText="1" indent="10"/>
    </xf>
    <xf numFmtId="0" fontId="14" fillId="4" borderId="8" xfId="2" applyFont="1" applyFill="1" applyBorder="1" applyAlignment="1">
      <alignment horizontal="left" vertical="center" wrapText="1" indent="10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0" fillId="4" borderId="9" xfId="4" applyFont="1" applyFill="1" applyBorder="1" applyAlignment="1">
      <alignment horizontal="left" vertical="center"/>
    </xf>
    <xf numFmtId="0" fontId="20" fillId="4" borderId="10" xfId="4" applyFont="1" applyFill="1" applyBorder="1" applyAlignment="1">
      <alignment horizontal="left" vertical="center"/>
    </xf>
    <xf numFmtId="0" fontId="20" fillId="4" borderId="8" xfId="4" applyFont="1" applyFill="1" applyBorder="1" applyAlignment="1">
      <alignment horizontal="left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wrapText="1"/>
    </xf>
    <xf numFmtId="0" fontId="8" fillId="2" borderId="16" xfId="2" applyFont="1" applyFill="1" applyBorder="1" applyAlignment="1">
      <alignment horizontal="left" vertical="center" wrapText="1"/>
    </xf>
    <xf numFmtId="0" fontId="8" fillId="2" borderId="15" xfId="2" applyFont="1" applyFill="1" applyBorder="1" applyAlignment="1">
      <alignment horizontal="left" vertical="center" wrapText="1"/>
    </xf>
    <xf numFmtId="0" fontId="8" fillId="2" borderId="17" xfId="2" applyFont="1" applyFill="1" applyBorder="1" applyAlignment="1">
      <alignment horizontal="left" vertical="center" wrapText="1"/>
    </xf>
    <xf numFmtId="0" fontId="8" fillId="2" borderId="9" xfId="2" applyFont="1" applyFill="1" applyBorder="1" applyAlignment="1">
      <alignment horizontal="left" vertical="center" wrapText="1"/>
    </xf>
    <xf numFmtId="0" fontId="8" fillId="2" borderId="10" xfId="2" applyFont="1" applyFill="1" applyBorder="1" applyAlignment="1">
      <alignment horizontal="left" vertical="center" wrapText="1"/>
    </xf>
    <xf numFmtId="0" fontId="8" fillId="2" borderId="13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9" fillId="2" borderId="14" xfId="2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/>
    </xf>
    <xf numFmtId="0" fontId="13" fillId="5" borderId="1" xfId="2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20" fillId="4" borderId="1" xfId="4" applyFont="1" applyFill="1" applyBorder="1" applyAlignment="1">
      <alignment horizontal="left" vertical="center"/>
    </xf>
    <xf numFmtId="0" fontId="14" fillId="4" borderId="9" xfId="2" applyFont="1" applyFill="1" applyBorder="1" applyAlignment="1">
      <alignment horizontal="left" vertical="center" wrapText="1"/>
    </xf>
    <xf numFmtId="0" fontId="14" fillId="4" borderId="10" xfId="2" applyFont="1" applyFill="1" applyBorder="1" applyAlignment="1">
      <alignment horizontal="left" vertical="center" wrapText="1"/>
    </xf>
    <xf numFmtId="0" fontId="14" fillId="4" borderId="8" xfId="2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5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 wrapText="1"/>
    </xf>
    <xf numFmtId="0" fontId="14" fillId="4" borderId="1" xfId="2" applyFont="1" applyFill="1" applyBorder="1" applyAlignment="1">
      <alignment horizontal="left" vertical="center" wrapText="1"/>
    </xf>
    <xf numFmtId="0" fontId="14" fillId="4" borderId="1" xfId="2" applyFont="1" applyFill="1" applyBorder="1" applyAlignment="1">
      <alignment horizontal="left" vertical="center" wrapText="1" indent="11"/>
    </xf>
    <xf numFmtId="0" fontId="12" fillId="2" borderId="18" xfId="0" applyFont="1" applyFill="1" applyBorder="1" applyAlignment="1">
      <alignment horizontal="center" wrapText="1"/>
    </xf>
    <xf numFmtId="0" fontId="20" fillId="4" borderId="1" xfId="4" applyFont="1" applyFill="1" applyBorder="1" applyAlignment="1">
      <alignment horizontal="left" vertical="center" wrapText="1"/>
    </xf>
    <xf numFmtId="169" fontId="8" fillId="0" borderId="1" xfId="0" applyNumberFormat="1" applyFont="1" applyBorder="1" applyAlignment="1">
      <alignment horizontal="left"/>
    </xf>
    <xf numFmtId="169" fontId="8" fillId="0" borderId="3" xfId="0" applyNumberFormat="1" applyFont="1" applyBorder="1" applyAlignment="1">
      <alignment horizontal="left"/>
    </xf>
    <xf numFmtId="169" fontId="8" fillId="0" borderId="3" xfId="0" applyNumberFormat="1" applyFont="1" applyBorder="1" applyAlignment="1">
      <alignment horizontal="left" vertical="center"/>
    </xf>
  </cellXfs>
  <cellStyles count="6">
    <cellStyle name="Hyperlink" xfId="4" builtinId="8"/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Percent" xfId="5" builtinId="5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1</xdr:rowOff>
    </xdr:from>
    <xdr:to>
      <xdr:col>0</xdr:col>
      <xdr:colOff>0</xdr:colOff>
      <xdr:row>69</xdr:row>
      <xdr:rowOff>13607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A907CE6-8378-1402-760F-A3E31358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64394" y="58769251"/>
          <a:ext cx="2721427" cy="1782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sdc-nt2/osdc/Documents%20and%20Settings/ThoanCT/My%20Documents/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8"/>
  <sheetViews>
    <sheetView showGridLines="0" zoomScale="70" zoomScaleNormal="70" workbookViewId="0">
      <selection activeCell="B8" sqref="B8"/>
    </sheetView>
  </sheetViews>
  <sheetFormatPr defaultColWidth="9" defaultRowHeight="14.25"/>
  <cols>
    <col min="1" max="1" width="9" style="1"/>
    <col min="2" max="2" width="25" style="1" customWidth="1"/>
    <col min="3" max="3" width="12.875" style="1" customWidth="1"/>
    <col min="4" max="4" width="17.75" style="1" bestFit="1" customWidth="1"/>
    <col min="5" max="5" width="44.625" style="2" customWidth="1"/>
    <col min="6" max="6" width="18.625" style="1" customWidth="1"/>
    <col min="7" max="7" width="18" style="1" customWidth="1"/>
    <col min="8" max="8" width="34.625" style="5" customWidth="1"/>
    <col min="9" max="16384" width="9" style="1"/>
  </cols>
  <sheetData>
    <row r="2" spans="1:9" ht="21" thickBot="1">
      <c r="A2" s="6"/>
      <c r="B2" s="9" t="s">
        <v>14</v>
      </c>
      <c r="C2" s="6"/>
      <c r="D2" s="6"/>
      <c r="E2" s="11"/>
      <c r="F2" s="6"/>
      <c r="G2" s="6"/>
    </row>
    <row r="3" spans="1:9" ht="15">
      <c r="A3" s="6"/>
      <c r="B3" s="32" t="s">
        <v>17</v>
      </c>
      <c r="C3" s="112" t="s">
        <v>5</v>
      </c>
      <c r="D3" s="112"/>
      <c r="E3" s="113"/>
      <c r="F3" s="6"/>
      <c r="G3" s="6"/>
    </row>
    <row r="4" spans="1:9" ht="15">
      <c r="A4" s="6"/>
      <c r="B4" s="33" t="s">
        <v>16</v>
      </c>
      <c r="C4" s="158">
        <v>46221</v>
      </c>
      <c r="D4" s="158"/>
      <c r="E4" s="159"/>
      <c r="F4" s="6"/>
      <c r="G4" s="6"/>
    </row>
    <row r="5" spans="1:9" ht="15.75" thickBot="1">
      <c r="A5" s="6"/>
      <c r="B5" s="34" t="s">
        <v>18</v>
      </c>
      <c r="C5" s="114" t="s">
        <v>19</v>
      </c>
      <c r="D5" s="114"/>
      <c r="E5" s="115"/>
      <c r="F5" s="6"/>
      <c r="G5" s="6"/>
    </row>
    <row r="6" spans="1:9">
      <c r="A6" s="6"/>
      <c r="B6" s="6"/>
      <c r="C6" s="6"/>
      <c r="D6" s="5"/>
    </row>
    <row r="7" spans="1:9" ht="15.75" thickBot="1">
      <c r="A7" s="6"/>
      <c r="B7" s="10" t="s">
        <v>52</v>
      </c>
    </row>
    <row r="8" spans="1:9" ht="15">
      <c r="B8" s="95" t="s">
        <v>22</v>
      </c>
      <c r="C8" s="39" t="s">
        <v>15</v>
      </c>
      <c r="D8" s="39" t="s">
        <v>23</v>
      </c>
      <c r="E8" s="40" t="s">
        <v>27</v>
      </c>
      <c r="F8" s="39" t="s">
        <v>25</v>
      </c>
      <c r="G8" s="40" t="s">
        <v>24</v>
      </c>
      <c r="H8" s="48" t="s">
        <v>26</v>
      </c>
      <c r="I8" s="7"/>
    </row>
    <row r="9" spans="1:9" s="7" customFormat="1" ht="21" customHeight="1">
      <c r="B9" s="96">
        <v>46095</v>
      </c>
      <c r="C9" s="90" t="s">
        <v>5</v>
      </c>
      <c r="D9" s="91" t="s">
        <v>28</v>
      </c>
      <c r="E9" s="92" t="s">
        <v>21</v>
      </c>
      <c r="F9" s="93" t="s">
        <v>20</v>
      </c>
      <c r="G9" s="28" t="s">
        <v>20</v>
      </c>
      <c r="H9" s="97"/>
    </row>
    <row r="10" spans="1:9" s="7" customFormat="1" ht="21" customHeight="1">
      <c r="B10" s="96"/>
      <c r="C10" s="90"/>
      <c r="D10" s="91"/>
      <c r="E10" s="92"/>
      <c r="F10" s="93"/>
      <c r="G10" s="92"/>
      <c r="H10" s="97"/>
    </row>
    <row r="11" spans="1:9" s="7" customFormat="1" ht="21" customHeight="1">
      <c r="B11" s="96"/>
      <c r="C11" s="90"/>
      <c r="D11" s="91"/>
      <c r="E11" s="92"/>
      <c r="F11" s="93"/>
      <c r="G11" s="93"/>
      <c r="H11" s="97"/>
    </row>
    <row r="12" spans="1:9" s="8" customFormat="1" ht="21" customHeight="1">
      <c r="B12" s="96"/>
      <c r="C12" s="90"/>
      <c r="D12" s="91"/>
      <c r="E12" s="28"/>
      <c r="F12" s="93"/>
      <c r="G12" s="93"/>
      <c r="H12" s="97"/>
    </row>
    <row r="13" spans="1:9" s="8" customFormat="1" ht="21" customHeight="1">
      <c r="B13" s="96"/>
      <c r="C13" s="90"/>
      <c r="D13" s="91"/>
      <c r="E13" s="28"/>
      <c r="F13" s="93"/>
      <c r="G13" s="93"/>
      <c r="H13" s="97"/>
    </row>
    <row r="14" spans="1:9" s="7" customFormat="1" ht="21" customHeight="1">
      <c r="B14" s="96"/>
      <c r="C14" s="90"/>
      <c r="D14" s="91"/>
      <c r="E14" s="28"/>
      <c r="F14" s="93"/>
      <c r="G14" s="93"/>
      <c r="H14" s="97"/>
    </row>
    <row r="15" spans="1:9" s="7" customFormat="1" ht="21" customHeight="1">
      <c r="B15" s="96"/>
      <c r="C15" s="94"/>
      <c r="D15" s="91"/>
      <c r="E15" s="28"/>
      <c r="F15" s="93"/>
      <c r="G15" s="93"/>
      <c r="H15" s="97"/>
    </row>
    <row r="16" spans="1:9" s="7" customFormat="1" ht="21" customHeight="1">
      <c r="B16" s="96"/>
      <c r="C16" s="90"/>
      <c r="D16" s="91"/>
      <c r="E16" s="28"/>
      <c r="F16" s="93"/>
      <c r="G16" s="93"/>
      <c r="H16" s="97"/>
    </row>
    <row r="17" spans="2:8" s="7" customFormat="1" ht="21" customHeight="1">
      <c r="B17" s="96"/>
      <c r="C17" s="90"/>
      <c r="D17" s="91"/>
      <c r="E17" s="28"/>
      <c r="F17" s="93"/>
      <c r="G17" s="93"/>
      <c r="H17" s="97"/>
    </row>
    <row r="18" spans="2:8" s="7" customFormat="1" ht="21" customHeight="1">
      <c r="B18" s="96"/>
      <c r="C18" s="90"/>
      <c r="D18" s="26"/>
      <c r="E18" s="28"/>
      <c r="F18" s="93"/>
      <c r="G18" s="93"/>
      <c r="H18" s="97"/>
    </row>
    <row r="19" spans="2:8" s="7" customFormat="1" ht="21" customHeight="1">
      <c r="B19" s="96"/>
      <c r="C19" s="90"/>
      <c r="D19" s="26"/>
      <c r="E19" s="28"/>
      <c r="F19" s="93"/>
      <c r="G19" s="93"/>
      <c r="H19" s="97"/>
    </row>
    <row r="20" spans="2:8" s="7" customFormat="1" ht="21" customHeight="1" thickBot="1">
      <c r="B20" s="98"/>
      <c r="C20" s="99"/>
      <c r="D20" s="100"/>
      <c r="E20" s="101"/>
      <c r="F20" s="102"/>
      <c r="G20" s="102"/>
      <c r="H20" s="103"/>
    </row>
    <row r="21" spans="2:8" s="7" customFormat="1" ht="20.100000000000001" customHeight="1"/>
    <row r="22" spans="2:8" ht="20.100000000000001" customHeight="1"/>
    <row r="23" spans="2:8">
      <c r="F23" s="7"/>
      <c r="G23" s="7"/>
      <c r="H23" s="7"/>
    </row>
    <row r="24" spans="2:8">
      <c r="F24" s="7"/>
      <c r="G24" s="7"/>
      <c r="H24" s="7"/>
    </row>
    <row r="25" spans="2:8">
      <c r="B25" s="7"/>
      <c r="C25" s="7"/>
      <c r="D25" s="7"/>
      <c r="E25" s="12"/>
      <c r="F25" s="7"/>
      <c r="G25" s="7"/>
      <c r="H25" s="7"/>
    </row>
    <row r="26" spans="2:8">
      <c r="B26" s="7"/>
      <c r="C26" s="7"/>
      <c r="D26" s="7"/>
      <c r="E26" s="12"/>
      <c r="F26" s="7"/>
      <c r="G26" s="7"/>
      <c r="H26" s="7"/>
    </row>
    <row r="27" spans="2:8">
      <c r="B27" s="7"/>
      <c r="C27" s="7"/>
      <c r="D27" s="7"/>
      <c r="E27" s="12"/>
    </row>
    <row r="28" spans="2:8">
      <c r="B28" s="7"/>
      <c r="C28" s="7"/>
      <c r="D28" s="7"/>
      <c r="E28" s="12"/>
    </row>
  </sheetData>
  <mergeCells count="3">
    <mergeCell ref="C3:E3"/>
    <mergeCell ref="C4:E4"/>
    <mergeCell ref="C5:E5"/>
  </mergeCells>
  <phoneticPr fontId="0"/>
  <pageMargins left="0.37" right="0.47" top="0.5" bottom="0.38" header="0.5" footer="0.17"/>
  <pageSetup paperSize="9" fitToWidth="0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2"/>
  <sheetViews>
    <sheetView zoomScale="60" zoomScaleNormal="60" workbookViewId="0">
      <selection activeCell="D15" sqref="D15:F15"/>
    </sheetView>
  </sheetViews>
  <sheetFormatPr defaultColWidth="8.875" defaultRowHeight="14.25" outlineLevelRow="1"/>
  <cols>
    <col min="1" max="1" width="19.75" style="1" customWidth="1"/>
    <col min="2" max="2" width="23.125" style="1" customWidth="1"/>
    <col min="3" max="3" width="43.375" style="1" customWidth="1"/>
    <col min="4" max="4" width="8.875" style="1"/>
    <col min="5" max="5" width="23.625" style="1" bestFit="1" customWidth="1"/>
    <col min="6" max="6" width="10.75" style="1" customWidth="1"/>
    <col min="7" max="7" width="18.5" style="1" hidden="1" customWidth="1"/>
    <col min="8" max="8" width="35.625" style="1" customWidth="1"/>
    <col min="9" max="9" width="17.125" style="1" customWidth="1"/>
    <col min="10" max="10" width="9" style="1"/>
    <col min="11" max="11" width="35.625" style="1" customWidth="1"/>
    <col min="12" max="12" width="10.625" style="1" customWidth="1"/>
    <col min="13" max="13" width="21.25" style="5" customWidth="1"/>
    <col min="14" max="14" width="30" style="3" customWidth="1"/>
    <col min="15" max="16384" width="8.875" style="1"/>
  </cols>
  <sheetData>
    <row r="1" spans="1:15" s="62" customFormat="1" ht="19.5" customHeight="1">
      <c r="A1" s="142" t="s">
        <v>1</v>
      </c>
      <c r="B1" s="142"/>
      <c r="C1" s="61"/>
      <c r="D1" s="61"/>
      <c r="E1" s="61"/>
      <c r="F1" s="61"/>
      <c r="G1" s="61"/>
      <c r="H1" s="61"/>
      <c r="I1" s="135"/>
      <c r="J1" s="135"/>
      <c r="K1" s="135"/>
      <c r="L1" s="135"/>
      <c r="M1" s="135"/>
      <c r="N1" s="135"/>
    </row>
    <row r="2" spans="1:15" s="62" customFormat="1" ht="11.25" customHeight="1" thickBot="1">
      <c r="A2" s="143"/>
      <c r="B2" s="143"/>
      <c r="C2" s="63"/>
      <c r="D2" s="63"/>
      <c r="E2" s="61"/>
      <c r="F2" s="61"/>
      <c r="G2" s="61"/>
      <c r="H2" s="61"/>
      <c r="I2" s="135"/>
      <c r="J2" s="135"/>
      <c r="K2" s="135"/>
      <c r="L2" s="135"/>
      <c r="M2" s="135"/>
      <c r="N2" s="135"/>
    </row>
    <row r="3" spans="1:15" s="62" customFormat="1" ht="20.100000000000001" customHeight="1">
      <c r="A3" s="64" t="s">
        <v>18</v>
      </c>
      <c r="B3" s="136" t="s">
        <v>19</v>
      </c>
      <c r="C3" s="137"/>
      <c r="D3" s="137"/>
      <c r="E3" s="137"/>
      <c r="F3" s="138"/>
      <c r="G3" s="65"/>
      <c r="H3" s="65"/>
      <c r="I3" s="135"/>
      <c r="J3" s="135"/>
      <c r="K3" s="135"/>
      <c r="L3" s="135"/>
      <c r="M3" s="135"/>
      <c r="N3" s="135"/>
      <c r="O3" s="66"/>
    </row>
    <row r="4" spans="1:15" s="62" customFormat="1" ht="20.100000000000001" customHeight="1">
      <c r="A4" s="67" t="s">
        <v>29</v>
      </c>
      <c r="B4" s="139" t="s">
        <v>30</v>
      </c>
      <c r="C4" s="140"/>
      <c r="D4" s="140"/>
      <c r="E4" s="140"/>
      <c r="F4" s="141"/>
      <c r="G4" s="65"/>
      <c r="H4" s="65"/>
      <c r="I4" s="135"/>
      <c r="J4" s="135"/>
      <c r="K4" s="135"/>
      <c r="L4" s="135"/>
      <c r="M4" s="135"/>
      <c r="N4" s="135"/>
      <c r="O4" s="66"/>
    </row>
    <row r="5" spans="1:15" s="70" customFormat="1" ht="20.100000000000001" customHeight="1">
      <c r="A5" s="67" t="s">
        <v>31</v>
      </c>
      <c r="B5" s="139" t="s">
        <v>13</v>
      </c>
      <c r="C5" s="140"/>
      <c r="D5" s="140"/>
      <c r="E5" s="140"/>
      <c r="F5" s="141"/>
      <c r="G5" s="68"/>
      <c r="H5" s="68"/>
      <c r="I5" s="135"/>
      <c r="J5" s="135"/>
      <c r="K5" s="135"/>
      <c r="L5" s="135"/>
      <c r="M5" s="135"/>
      <c r="N5" s="135"/>
      <c r="O5" s="69"/>
    </row>
    <row r="6" spans="1:15" s="62" customFormat="1" ht="20.100000000000001" customHeight="1">
      <c r="A6" s="78" t="s">
        <v>2</v>
      </c>
      <c r="B6" s="104">
        <f>COUNTIFS(J12:J200, "Pass", A12:A200, "&lt;&gt;*AI")</f>
        <v>0</v>
      </c>
      <c r="C6" s="105" t="s">
        <v>6</v>
      </c>
      <c r="D6" s="104">
        <f>COUNTIF(L13:L200,"Pass")</f>
        <v>0</v>
      </c>
      <c r="E6" s="106" t="s">
        <v>3</v>
      </c>
      <c r="F6" s="107">
        <f>COUNTIFS(J12:J200, "Pending", A12:A200, "&lt;&gt;*AI")</f>
        <v>0</v>
      </c>
      <c r="G6" s="71"/>
      <c r="H6" s="71"/>
      <c r="I6" s="135"/>
      <c r="J6" s="135"/>
      <c r="K6" s="135"/>
      <c r="L6" s="135"/>
      <c r="M6" s="135"/>
      <c r="N6" s="135"/>
      <c r="O6" s="66"/>
    </row>
    <row r="7" spans="1:15" s="62" customFormat="1" ht="20.100000000000001" customHeight="1" thickBot="1">
      <c r="A7" s="79" t="s">
        <v>0</v>
      </c>
      <c r="B7" s="108">
        <f>COUNTIFS(J12:J200, "Fail", A12:A200, "&lt;&gt;*AI")</f>
        <v>0</v>
      </c>
      <c r="C7" s="109" t="s">
        <v>7</v>
      </c>
      <c r="D7" s="108">
        <f>COUNTIF(L12:L200,"Fail")</f>
        <v>0</v>
      </c>
      <c r="E7" s="110" t="s">
        <v>32</v>
      </c>
      <c r="F7" s="111">
        <f>COUNTIF(A12:A200, "TC*")</f>
        <v>0</v>
      </c>
      <c r="G7" s="72"/>
      <c r="H7" s="72"/>
      <c r="I7" s="135"/>
      <c r="J7" s="135"/>
      <c r="K7" s="135"/>
      <c r="L7" s="135"/>
      <c r="M7" s="135"/>
      <c r="N7" s="135"/>
      <c r="O7" s="66"/>
    </row>
    <row r="8" spans="1:15" s="62" customFormat="1" ht="15" customHeight="1">
      <c r="A8" s="144"/>
      <c r="B8" s="144"/>
      <c r="C8" s="144"/>
      <c r="D8" s="144"/>
      <c r="E8" s="71"/>
      <c r="F8" s="71"/>
      <c r="G8" s="71"/>
      <c r="H8" s="71"/>
      <c r="I8" s="71"/>
      <c r="J8" s="73"/>
      <c r="K8" s="73"/>
      <c r="L8" s="13"/>
      <c r="M8" s="80"/>
      <c r="N8" s="14"/>
      <c r="O8" s="66"/>
    </row>
    <row r="9" spans="1:15" s="62" customFormat="1" ht="12" customHeight="1">
      <c r="A9" s="145" t="s">
        <v>33</v>
      </c>
      <c r="B9" s="145" t="s">
        <v>34</v>
      </c>
      <c r="C9" s="145" t="s">
        <v>35</v>
      </c>
      <c r="D9" s="145" t="s">
        <v>36</v>
      </c>
      <c r="E9" s="145"/>
      <c r="F9" s="145"/>
      <c r="G9" s="145"/>
      <c r="H9" s="145" t="s">
        <v>37</v>
      </c>
      <c r="I9" s="145" t="s">
        <v>38</v>
      </c>
      <c r="J9" s="145" t="s">
        <v>4</v>
      </c>
      <c r="K9" s="145" t="s">
        <v>39</v>
      </c>
      <c r="L9" s="145" t="s">
        <v>9</v>
      </c>
      <c r="M9" s="152" t="s">
        <v>26</v>
      </c>
      <c r="N9" s="145" t="s">
        <v>40</v>
      </c>
      <c r="O9" s="66"/>
    </row>
    <row r="10" spans="1:15" s="62" customFormat="1" ht="12" customHeight="1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52"/>
      <c r="N10" s="145"/>
      <c r="O10" s="66"/>
    </row>
    <row r="11" spans="1:15" ht="15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74"/>
    </row>
    <row r="12" spans="1:15" s="76" customFormat="1" ht="20.100000000000001" customHeight="1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75"/>
    </row>
    <row r="13" spans="1:15" s="76" customFormat="1" ht="140.1" customHeight="1" outlineLevel="1">
      <c r="A13" s="15"/>
      <c r="B13" s="16"/>
      <c r="C13" s="17"/>
      <c r="D13" s="131"/>
      <c r="E13" s="131"/>
      <c r="F13" s="131"/>
      <c r="G13" s="19"/>
      <c r="H13" s="77"/>
      <c r="I13" s="20"/>
      <c r="J13" s="16"/>
      <c r="K13" s="21"/>
      <c r="L13" s="16"/>
      <c r="M13" s="22"/>
      <c r="N13" s="23"/>
      <c r="O13" s="75"/>
    </row>
    <row r="14" spans="1:15" s="76" customFormat="1" ht="9.9499999999999993" customHeight="1" outlineLevel="1">
      <c r="A14" s="148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50"/>
    </row>
    <row r="15" spans="1:15" s="76" customFormat="1" ht="140.1" customHeight="1" outlineLevel="1">
      <c r="A15" s="15"/>
      <c r="B15" s="16"/>
      <c r="C15" s="17"/>
      <c r="D15" s="131"/>
      <c r="E15" s="131"/>
      <c r="F15" s="131"/>
      <c r="G15" s="19"/>
      <c r="H15" s="77"/>
      <c r="I15" s="25"/>
      <c r="J15" s="16"/>
      <c r="K15" s="21"/>
      <c r="L15" s="16"/>
      <c r="M15" s="22"/>
      <c r="N15" s="17"/>
    </row>
    <row r="16" spans="1:15" s="76" customFormat="1" ht="9.9499999999999993" customHeight="1" outlineLevel="1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8"/>
    </row>
    <row r="17" spans="1:14" s="76" customFormat="1" ht="140.1" customHeight="1" outlineLevel="1">
      <c r="A17" s="15"/>
      <c r="B17" s="16"/>
      <c r="C17" s="17"/>
      <c r="D17" s="131"/>
      <c r="E17" s="131"/>
      <c r="F17" s="131"/>
      <c r="G17" s="19"/>
      <c r="H17" s="77"/>
      <c r="I17" s="25"/>
      <c r="J17" s="16"/>
      <c r="K17" s="21"/>
      <c r="L17" s="16"/>
      <c r="M17" s="22"/>
      <c r="N17" s="23"/>
    </row>
    <row r="18" spans="1:14" ht="9.9499999999999993" customHeight="1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8"/>
    </row>
    <row r="19" spans="1:14" ht="140.1" customHeight="1">
      <c r="A19" s="15"/>
      <c r="B19" s="16"/>
      <c r="C19" s="17"/>
      <c r="D19" s="131"/>
      <c r="E19" s="131"/>
      <c r="F19" s="131"/>
      <c r="G19" s="19"/>
      <c r="H19" s="77"/>
      <c r="I19" s="25"/>
      <c r="J19" s="16"/>
      <c r="K19" s="21"/>
      <c r="L19" s="16"/>
      <c r="M19" s="22"/>
      <c r="N19" s="26"/>
    </row>
    <row r="20" spans="1:14" ht="9.9499999999999993" customHeight="1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8"/>
    </row>
    <row r="21" spans="1:14" ht="140.1" customHeight="1">
      <c r="A21" s="15"/>
      <c r="B21" s="16"/>
      <c r="C21" s="17"/>
      <c r="D21" s="131"/>
      <c r="E21" s="131"/>
      <c r="F21" s="131"/>
      <c r="G21" s="19"/>
      <c r="H21" s="17"/>
      <c r="I21" s="25"/>
      <c r="J21" s="16"/>
      <c r="K21" s="21"/>
      <c r="L21" s="16"/>
      <c r="M21" s="22"/>
      <c r="N21" s="26"/>
    </row>
    <row r="22" spans="1:14" ht="9.9499999999999993" customHeight="1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8"/>
    </row>
    <row r="23" spans="1:14" ht="140.1" customHeight="1">
      <c r="A23" s="15"/>
      <c r="B23" s="16"/>
      <c r="C23" s="17"/>
      <c r="D23" s="131"/>
      <c r="E23" s="131"/>
      <c r="F23" s="131"/>
      <c r="G23" s="19"/>
      <c r="H23" s="77"/>
      <c r="I23" s="25"/>
      <c r="J23" s="16"/>
      <c r="K23" s="21"/>
      <c r="L23" s="16"/>
      <c r="M23" s="22"/>
      <c r="N23" s="26"/>
    </row>
    <row r="24" spans="1:14" ht="9.9499999999999993" customHeight="1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8"/>
    </row>
    <row r="25" spans="1:14" ht="140.1" customHeight="1">
      <c r="A25" s="15"/>
      <c r="B25" s="16"/>
      <c r="C25" s="17"/>
      <c r="D25" s="131"/>
      <c r="E25" s="131"/>
      <c r="F25" s="131"/>
      <c r="G25" s="19"/>
      <c r="H25" s="77"/>
      <c r="I25" s="25"/>
      <c r="J25" s="16"/>
      <c r="K25" s="21"/>
      <c r="L25" s="16"/>
      <c r="M25" s="22"/>
      <c r="N25" s="26"/>
    </row>
    <row r="26" spans="1:14" ht="9.9499999999999993" customHeight="1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8"/>
    </row>
    <row r="27" spans="1:14" ht="140.1" customHeight="1">
      <c r="A27" s="15"/>
      <c r="B27" s="16"/>
      <c r="C27" s="17"/>
      <c r="D27" s="151"/>
      <c r="E27" s="151"/>
      <c r="F27" s="151"/>
      <c r="G27" s="19"/>
      <c r="H27" s="21"/>
      <c r="I27" s="25"/>
      <c r="J27" s="16"/>
      <c r="K27" s="77"/>
      <c r="L27" s="16"/>
      <c r="M27" s="22"/>
      <c r="N27" s="28"/>
    </row>
    <row r="28" spans="1:14" ht="20.100000000000001" customHeight="1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7"/>
    </row>
    <row r="29" spans="1:14" ht="150" customHeight="1">
      <c r="A29" s="15"/>
      <c r="B29" s="16"/>
      <c r="C29" s="17"/>
      <c r="D29" s="132"/>
      <c r="E29" s="133"/>
      <c r="F29" s="134"/>
      <c r="G29" s="19"/>
      <c r="H29" s="17"/>
      <c r="I29" s="20"/>
      <c r="J29" s="16"/>
      <c r="K29" s="21"/>
      <c r="L29" s="16"/>
      <c r="M29" s="22"/>
      <c r="N29" s="26"/>
    </row>
    <row r="30" spans="1:14" ht="9.9499999999999993" customHeight="1">
      <c r="A30" s="116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8"/>
    </row>
    <row r="31" spans="1:14" ht="150" customHeight="1">
      <c r="A31" s="15"/>
      <c r="B31" s="16"/>
      <c r="C31" s="17"/>
      <c r="D31" s="132"/>
      <c r="E31" s="133"/>
      <c r="F31" s="134"/>
      <c r="G31" s="19"/>
      <c r="H31" s="24"/>
      <c r="I31" s="20"/>
      <c r="J31" s="16"/>
      <c r="K31" s="21"/>
      <c r="L31" s="16"/>
      <c r="M31" s="22"/>
      <c r="N31" s="26"/>
    </row>
    <row r="32" spans="1:14" ht="9.9499999999999993" customHeight="1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8"/>
    </row>
    <row r="33" spans="1:14" ht="150" customHeight="1">
      <c r="A33" s="15"/>
      <c r="B33" s="16"/>
      <c r="C33" s="17"/>
      <c r="D33" s="132"/>
      <c r="E33" s="133"/>
      <c r="F33" s="134"/>
      <c r="G33" s="19"/>
      <c r="H33" s="17"/>
      <c r="I33" s="20"/>
      <c r="J33" s="16"/>
      <c r="K33" s="21"/>
      <c r="L33" s="16"/>
      <c r="M33" s="22"/>
      <c r="N33" s="26"/>
    </row>
    <row r="34" spans="1:14" ht="9.9499999999999993" customHeight="1">
      <c r="A34" s="116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8"/>
    </row>
    <row r="35" spans="1:14" ht="150" customHeight="1">
      <c r="A35" s="15"/>
      <c r="B35" s="16"/>
      <c r="C35" s="17"/>
      <c r="D35" s="132"/>
      <c r="E35" s="133"/>
      <c r="F35" s="134"/>
      <c r="G35" s="19"/>
      <c r="H35" s="17"/>
      <c r="I35" s="20"/>
      <c r="J35" s="16"/>
      <c r="K35" s="21"/>
      <c r="L35" s="16"/>
      <c r="M35" s="22"/>
      <c r="N35" s="28"/>
    </row>
    <row r="36" spans="1:14" ht="9.9499999999999993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8"/>
    </row>
    <row r="37" spans="1:14" ht="150" customHeight="1">
      <c r="A37" s="15"/>
      <c r="B37" s="16"/>
      <c r="C37" s="17"/>
      <c r="D37" s="132"/>
      <c r="E37" s="133"/>
      <c r="F37" s="134"/>
      <c r="G37" s="19"/>
      <c r="H37" s="17"/>
      <c r="I37" s="20"/>
      <c r="J37" s="16"/>
      <c r="K37" s="21"/>
      <c r="L37" s="16"/>
      <c r="M37" s="22"/>
      <c r="N37" s="26"/>
    </row>
    <row r="38" spans="1:14" ht="9.9499999999999993" customHeight="1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8"/>
    </row>
    <row r="39" spans="1:14" ht="150" customHeight="1">
      <c r="A39" s="15"/>
      <c r="B39" s="16"/>
      <c r="C39" s="17"/>
      <c r="D39" s="132"/>
      <c r="E39" s="133"/>
      <c r="F39" s="134"/>
      <c r="G39" s="19"/>
      <c r="H39" s="17"/>
      <c r="I39" s="20"/>
      <c r="J39" s="16"/>
      <c r="K39" s="21"/>
      <c r="L39" s="16"/>
      <c r="M39" s="22"/>
      <c r="N39" s="26"/>
    </row>
    <row r="40" spans="1:14" ht="9.9499999999999993" customHeight="1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8"/>
    </row>
    <row r="41" spans="1:14" ht="150" customHeight="1">
      <c r="A41" s="15"/>
      <c r="B41" s="16"/>
      <c r="C41" s="17"/>
      <c r="D41" s="132"/>
      <c r="E41" s="133"/>
      <c r="F41" s="134"/>
      <c r="G41" s="19"/>
      <c r="H41" s="17"/>
      <c r="I41" s="20"/>
      <c r="J41" s="16"/>
      <c r="K41" s="21"/>
      <c r="L41" s="16"/>
      <c r="M41" s="22"/>
      <c r="N41" s="26"/>
    </row>
    <row r="42" spans="1:14" ht="9.9499999999999993" customHeight="1">
      <c r="A42" s="116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8"/>
    </row>
    <row r="43" spans="1:14" ht="150" customHeight="1">
      <c r="A43" s="15"/>
      <c r="B43" s="16"/>
      <c r="C43" s="17"/>
      <c r="D43" s="132"/>
      <c r="E43" s="133"/>
      <c r="F43" s="134"/>
      <c r="G43" s="19"/>
      <c r="H43" s="21"/>
      <c r="I43" s="20"/>
      <c r="J43" s="16"/>
      <c r="K43" s="29"/>
      <c r="L43" s="16"/>
      <c r="M43" s="22"/>
      <c r="N43" s="28"/>
    </row>
    <row r="44" spans="1:14" ht="9.9499999999999993" customHeight="1">
      <c r="A44" s="116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8"/>
    </row>
    <row r="45" spans="1:14" ht="150" customHeight="1">
      <c r="A45" s="15"/>
      <c r="B45" s="16"/>
      <c r="C45" s="17"/>
      <c r="D45" s="132"/>
      <c r="E45" s="133"/>
      <c r="F45" s="134"/>
      <c r="G45" s="19"/>
      <c r="H45" s="21"/>
      <c r="I45" s="20"/>
      <c r="J45" s="16"/>
      <c r="K45" s="30"/>
      <c r="L45" s="16"/>
      <c r="M45" s="22"/>
      <c r="N45" s="28"/>
    </row>
    <row r="46" spans="1:14" ht="9.9499999999999993" customHeight="1">
      <c r="A46" s="116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8"/>
    </row>
    <row r="47" spans="1:14" ht="150" customHeight="1">
      <c r="A47" s="16"/>
      <c r="B47" s="16"/>
      <c r="C47" s="17"/>
      <c r="D47" s="132"/>
      <c r="E47" s="133"/>
      <c r="F47" s="134"/>
      <c r="G47" s="19"/>
      <c r="H47" s="21"/>
      <c r="I47" s="20"/>
      <c r="J47" s="16"/>
      <c r="K47" s="21"/>
      <c r="L47" s="16"/>
      <c r="M47" s="22"/>
      <c r="N47" s="26"/>
    </row>
    <row r="48" spans="1:14" ht="9.9499999999999993" customHeight="1">
      <c r="A48" s="116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8"/>
    </row>
    <row r="49" spans="1:14">
      <c r="A49" s="15"/>
      <c r="B49" s="16"/>
      <c r="C49" s="17"/>
      <c r="D49" s="132"/>
      <c r="E49" s="133"/>
      <c r="F49" s="134"/>
      <c r="G49" s="19"/>
      <c r="H49" s="21"/>
      <c r="I49" s="20"/>
      <c r="J49" s="16"/>
      <c r="K49" s="21"/>
      <c r="L49" s="16"/>
      <c r="M49" s="22"/>
      <c r="N49" s="26"/>
    </row>
    <row r="50" spans="1:14" ht="9.9499999999999993" customHeight="1">
      <c r="A50" s="116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8"/>
    </row>
    <row r="51" spans="1:14" ht="150" customHeight="1">
      <c r="A51" s="15"/>
      <c r="B51" s="16"/>
      <c r="C51" s="17"/>
      <c r="D51" s="132"/>
      <c r="E51" s="133"/>
      <c r="F51" s="134"/>
      <c r="G51" s="19"/>
      <c r="H51" s="21"/>
      <c r="I51" s="20"/>
      <c r="J51" s="16"/>
      <c r="K51" s="27"/>
      <c r="L51" s="16"/>
      <c r="M51" s="22"/>
      <c r="N51" s="26"/>
    </row>
    <row r="52" spans="1:14" ht="20.100000000000001" customHeight="1">
      <c r="A52" s="125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7"/>
    </row>
    <row r="53" spans="1:14" ht="140.1" customHeight="1">
      <c r="A53" s="15"/>
      <c r="B53" s="16"/>
      <c r="C53" s="17"/>
      <c r="D53" s="132"/>
      <c r="E53" s="133"/>
      <c r="F53" s="134"/>
      <c r="G53" s="19"/>
      <c r="H53" s="17"/>
      <c r="I53" s="20"/>
      <c r="J53" s="16"/>
      <c r="K53" s="21"/>
      <c r="L53" s="16"/>
      <c r="M53" s="22"/>
      <c r="N53" s="26"/>
    </row>
    <row r="54" spans="1:14" ht="9.9499999999999993" customHeight="1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8"/>
    </row>
    <row r="55" spans="1:14" ht="146.25" customHeight="1">
      <c r="A55" s="15"/>
      <c r="B55" s="16"/>
      <c r="C55" s="17"/>
      <c r="D55" s="132"/>
      <c r="E55" s="133"/>
      <c r="F55" s="134"/>
      <c r="G55" s="19"/>
      <c r="H55" s="24"/>
      <c r="I55" s="20"/>
      <c r="J55" s="16"/>
      <c r="K55" s="21"/>
      <c r="L55" s="16"/>
      <c r="M55" s="22"/>
      <c r="N55" s="42"/>
    </row>
    <row r="56" spans="1:14" ht="9.9499999999999993" customHeight="1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8"/>
    </row>
    <row r="57" spans="1:14" ht="149.25" customHeight="1">
      <c r="A57" s="15"/>
      <c r="B57" s="16"/>
      <c r="C57" s="17"/>
      <c r="D57" s="132"/>
      <c r="E57" s="133"/>
      <c r="F57" s="134"/>
      <c r="G57" s="19"/>
      <c r="H57" s="17"/>
      <c r="I57" s="20"/>
      <c r="J57" s="16"/>
      <c r="K57" s="21"/>
      <c r="L57" s="16"/>
      <c r="M57" s="22"/>
      <c r="N57" s="42"/>
    </row>
    <row r="58" spans="1:14" ht="20.100000000000001" customHeight="1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7"/>
    </row>
    <row r="59" spans="1:14" ht="144" customHeight="1">
      <c r="A59" s="15"/>
      <c r="B59" s="16"/>
      <c r="C59" s="17"/>
      <c r="D59" s="132"/>
      <c r="E59" s="133"/>
      <c r="F59" s="134"/>
      <c r="G59" s="19"/>
      <c r="H59" s="17"/>
      <c r="I59" s="20"/>
      <c r="J59" s="16"/>
      <c r="K59" s="21"/>
      <c r="L59" s="16"/>
      <c r="M59" s="22"/>
      <c r="N59" s="26"/>
    </row>
    <row r="60" spans="1:14" ht="9.9499999999999993" customHeight="1">
      <c r="A60" s="116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8"/>
    </row>
    <row r="61" spans="1:14" ht="162.75" customHeight="1">
      <c r="A61" s="15"/>
      <c r="B61" s="16"/>
      <c r="C61" s="17"/>
      <c r="D61" s="132"/>
      <c r="E61" s="133"/>
      <c r="F61" s="134"/>
      <c r="G61" s="19"/>
      <c r="H61" s="30"/>
      <c r="I61" s="20"/>
      <c r="J61" s="16"/>
      <c r="K61" s="21"/>
      <c r="L61" s="16"/>
      <c r="M61" s="22"/>
      <c r="N61" s="26"/>
    </row>
    <row r="62" spans="1:14" ht="9.9499999999999993" customHeight="1">
      <c r="A62" s="116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8"/>
    </row>
    <row r="63" spans="1:14" ht="168.75" customHeight="1">
      <c r="A63" s="15"/>
      <c r="B63" s="16"/>
      <c r="C63" s="17"/>
      <c r="D63" s="132"/>
      <c r="E63" s="133"/>
      <c r="F63" s="134"/>
      <c r="G63" s="19"/>
      <c r="H63" s="17"/>
      <c r="I63" s="20"/>
      <c r="J63" s="16"/>
      <c r="K63" s="21"/>
      <c r="L63" s="16"/>
      <c r="M63" s="22"/>
      <c r="N63" s="26"/>
    </row>
    <row r="64" spans="1:14" ht="9.9499999999999993" customHeight="1">
      <c r="A64" s="116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8"/>
    </row>
    <row r="65" spans="1:14" ht="162.75" customHeight="1">
      <c r="A65" s="15"/>
      <c r="B65" s="16"/>
      <c r="C65" s="17"/>
      <c r="D65" s="132"/>
      <c r="E65" s="133"/>
      <c r="F65" s="134"/>
      <c r="G65" s="19"/>
      <c r="H65" s="17"/>
      <c r="I65" s="20"/>
      <c r="J65" s="16"/>
      <c r="K65" s="21"/>
      <c r="L65" s="16"/>
      <c r="M65" s="22"/>
      <c r="N65" s="26"/>
    </row>
    <row r="66" spans="1:14" ht="9.9499999999999993" customHeight="1">
      <c r="A66" s="116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8"/>
    </row>
    <row r="67" spans="1:14" ht="156" customHeight="1">
      <c r="A67" s="15"/>
      <c r="B67" s="16"/>
      <c r="C67" s="17"/>
      <c r="D67" s="132"/>
      <c r="E67" s="133"/>
      <c r="F67" s="134"/>
      <c r="G67" s="19"/>
      <c r="H67" s="21"/>
      <c r="I67" s="20"/>
      <c r="J67" s="16"/>
      <c r="K67" s="21"/>
      <c r="L67" s="16"/>
      <c r="M67" s="22"/>
      <c r="N67" s="26"/>
    </row>
    <row r="68" spans="1:14" ht="18.75" customHeight="1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7"/>
    </row>
    <row r="69" spans="1:14" ht="168.75" customHeight="1">
      <c r="A69" s="16"/>
      <c r="B69" s="16"/>
      <c r="C69" s="17"/>
      <c r="D69" s="132"/>
      <c r="E69" s="133"/>
      <c r="F69" s="134"/>
      <c r="G69" s="19"/>
      <c r="H69" s="21"/>
      <c r="I69" s="20"/>
      <c r="J69" s="16"/>
      <c r="K69" s="21"/>
      <c r="L69" s="16"/>
      <c r="M69" s="22"/>
      <c r="N69" s="26"/>
    </row>
    <row r="70" spans="1:14" ht="12.75" customHeight="1">
      <c r="A70" s="116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8"/>
    </row>
    <row r="71" spans="1:14">
      <c r="A71" s="15"/>
      <c r="B71" s="16"/>
      <c r="C71" s="17"/>
      <c r="D71" s="132"/>
      <c r="E71" s="133"/>
      <c r="F71" s="134"/>
      <c r="G71" s="19"/>
      <c r="H71" s="21"/>
      <c r="I71" s="20"/>
      <c r="J71" s="16"/>
      <c r="K71" s="21"/>
      <c r="L71" s="16"/>
      <c r="M71" s="22"/>
      <c r="N71" s="26"/>
    </row>
    <row r="72" spans="1:14" ht="9.9499999999999993" customHeight="1">
      <c r="A72" s="116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8"/>
    </row>
    <row r="73" spans="1:14" ht="170.25" customHeight="1">
      <c r="A73" s="15"/>
      <c r="B73" s="16"/>
      <c r="C73" s="17"/>
      <c r="D73" s="132"/>
      <c r="E73" s="133"/>
      <c r="F73" s="134"/>
      <c r="G73" s="19"/>
      <c r="H73" s="21"/>
      <c r="I73" s="20"/>
      <c r="J73" s="16"/>
      <c r="K73" s="21"/>
      <c r="L73" s="16"/>
      <c r="M73" s="22"/>
      <c r="N73" s="26"/>
    </row>
    <row r="74" spans="1:14" ht="9.9499999999999993" customHeight="1">
      <c r="A74" s="116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8"/>
    </row>
    <row r="75" spans="1:14">
      <c r="A75" s="15"/>
      <c r="B75" s="16"/>
      <c r="C75" s="17"/>
      <c r="D75" s="132"/>
      <c r="E75" s="133"/>
      <c r="F75" s="134"/>
      <c r="G75" s="19"/>
      <c r="H75" s="21"/>
      <c r="I75" s="20"/>
      <c r="J75" s="16"/>
      <c r="K75" s="21"/>
      <c r="L75" s="16"/>
      <c r="M75" s="22"/>
      <c r="N75" s="26"/>
    </row>
    <row r="76" spans="1:14" ht="9.9499999999999993" customHeight="1">
      <c r="A76" s="116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8"/>
    </row>
    <row r="77" spans="1:14">
      <c r="A77" s="15"/>
      <c r="B77" s="16"/>
      <c r="C77" s="17"/>
      <c r="D77" s="132"/>
      <c r="E77" s="133"/>
      <c r="F77" s="134"/>
      <c r="G77" s="19"/>
      <c r="H77" s="21"/>
      <c r="I77" s="20"/>
      <c r="J77" s="16"/>
      <c r="K77" s="21"/>
      <c r="L77" s="16"/>
      <c r="M77" s="22"/>
      <c r="N77" s="26"/>
    </row>
    <row r="78" spans="1:14" ht="9.9499999999999993" customHeight="1">
      <c r="A78" s="116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8"/>
    </row>
    <row r="79" spans="1:14" ht="151.5" customHeight="1">
      <c r="A79" s="15"/>
      <c r="B79" s="16"/>
      <c r="C79" s="17"/>
      <c r="D79" s="132"/>
      <c r="E79" s="133"/>
      <c r="F79" s="134"/>
      <c r="G79" s="19"/>
      <c r="H79" s="21"/>
      <c r="I79" s="20"/>
      <c r="J79" s="16"/>
      <c r="K79" s="21"/>
      <c r="L79" s="16"/>
      <c r="M79" s="22"/>
      <c r="N79" s="26"/>
    </row>
    <row r="80" spans="1:14" ht="21" customHeight="1">
      <c r="A80" s="125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7"/>
    </row>
    <row r="81" spans="1:14" ht="140.1" customHeight="1">
      <c r="A81" s="16"/>
      <c r="B81" s="18"/>
      <c r="C81" s="17"/>
      <c r="D81" s="128"/>
      <c r="E81" s="129"/>
      <c r="F81" s="130"/>
      <c r="G81" s="19"/>
      <c r="H81" s="21"/>
      <c r="I81" s="20"/>
      <c r="J81" s="16"/>
      <c r="K81" s="21"/>
      <c r="L81" s="16"/>
      <c r="M81" s="22"/>
      <c r="N81" s="26"/>
    </row>
    <row r="82" spans="1:14" ht="12.75" customHeight="1">
      <c r="A82" s="116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8"/>
    </row>
    <row r="83" spans="1:14" ht="140.1" customHeight="1">
      <c r="A83" s="15"/>
      <c r="B83" s="18"/>
      <c r="C83" s="17"/>
      <c r="D83" s="128"/>
      <c r="E83" s="129"/>
      <c r="F83" s="130"/>
      <c r="G83" s="19"/>
      <c r="H83" s="21"/>
      <c r="I83" s="20"/>
      <c r="J83" s="16"/>
      <c r="K83" s="21"/>
      <c r="L83" s="16"/>
      <c r="M83" s="22"/>
      <c r="N83" s="26"/>
    </row>
    <row r="84" spans="1:14" ht="9.75" customHeight="1">
      <c r="A84" s="116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8"/>
    </row>
    <row r="85" spans="1:14" ht="140.1" customHeight="1">
      <c r="A85" s="15"/>
      <c r="B85" s="16"/>
      <c r="C85" s="17"/>
      <c r="D85" s="131"/>
      <c r="E85" s="131"/>
      <c r="F85" s="131"/>
      <c r="G85" s="19"/>
      <c r="H85" s="21"/>
      <c r="I85" s="20"/>
      <c r="J85" s="16"/>
      <c r="K85" s="21"/>
      <c r="L85" s="16"/>
      <c r="M85" s="22"/>
      <c r="N85" s="26"/>
    </row>
    <row r="86" spans="1:14" ht="9.9499999999999993" customHeight="1">
      <c r="A86" s="116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8"/>
    </row>
    <row r="87" spans="1:14" ht="140.1" customHeight="1">
      <c r="A87" s="26"/>
      <c r="B87" s="28"/>
      <c r="C87" s="42"/>
      <c r="D87" s="122"/>
      <c r="E87" s="123"/>
      <c r="F87" s="124"/>
      <c r="G87" s="30"/>
      <c r="H87" s="30"/>
      <c r="I87" s="81"/>
      <c r="J87" s="16"/>
      <c r="K87" s="21"/>
      <c r="L87" s="16"/>
      <c r="M87" s="22"/>
      <c r="N87" s="26"/>
    </row>
    <row r="88" spans="1:14" ht="9.9499999999999993" customHeight="1">
      <c r="A88" s="116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8"/>
    </row>
    <row r="89" spans="1:14" ht="140.1" customHeight="1">
      <c r="A89" s="26"/>
      <c r="B89" s="28"/>
      <c r="C89" s="42"/>
      <c r="D89" s="122"/>
      <c r="E89" s="123"/>
      <c r="F89" s="124"/>
      <c r="G89" s="30"/>
      <c r="H89" s="30"/>
      <c r="I89" s="81"/>
      <c r="J89" s="18"/>
      <c r="K89" s="21"/>
      <c r="L89" s="18"/>
      <c r="M89" s="22"/>
      <c r="N89" s="26"/>
    </row>
    <row r="90" spans="1:14" ht="12.75" customHeight="1">
      <c r="A90" s="119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1"/>
    </row>
    <row r="91" spans="1:14" ht="119.25" customHeight="1">
      <c r="A91" s="26"/>
      <c r="B91" s="28"/>
      <c r="C91" s="42"/>
      <c r="D91" s="122"/>
      <c r="E91" s="123"/>
      <c r="F91" s="124"/>
      <c r="G91" s="30"/>
      <c r="H91" s="30"/>
      <c r="I91" s="81"/>
      <c r="J91" s="18"/>
      <c r="K91" s="21"/>
      <c r="L91" s="18"/>
      <c r="M91" s="22"/>
      <c r="N91" s="26"/>
    </row>
    <row r="92" spans="1:14" ht="11.25" customHeight="1">
      <c r="A92" s="116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8"/>
    </row>
  </sheetData>
  <mergeCells count="99">
    <mergeCell ref="D49:F49"/>
    <mergeCell ref="A46:N46"/>
    <mergeCell ref="A48:N48"/>
    <mergeCell ref="A50:N50"/>
    <mergeCell ref="D51:F51"/>
    <mergeCell ref="D29:F29"/>
    <mergeCell ref="A28:N28"/>
    <mergeCell ref="L9:L10"/>
    <mergeCell ref="M9:M10"/>
    <mergeCell ref="D47:F47"/>
    <mergeCell ref="I9:I10"/>
    <mergeCell ref="A9:A10"/>
    <mergeCell ref="B9:B10"/>
    <mergeCell ref="J9:J10"/>
    <mergeCell ref="D17:F17"/>
    <mergeCell ref="H9:H10"/>
    <mergeCell ref="D15:F15"/>
    <mergeCell ref="D13:F13"/>
    <mergeCell ref="C9:C10"/>
    <mergeCell ref="D9:G10"/>
    <mergeCell ref="A22:N22"/>
    <mergeCell ref="D23:F23"/>
    <mergeCell ref="D25:F25"/>
    <mergeCell ref="D27:F27"/>
    <mergeCell ref="A24:N24"/>
    <mergeCell ref="A26:N26"/>
    <mergeCell ref="I1:N7"/>
    <mergeCell ref="D19:F19"/>
    <mergeCell ref="D21:F21"/>
    <mergeCell ref="A18:N18"/>
    <mergeCell ref="A20:N20"/>
    <mergeCell ref="B3:F3"/>
    <mergeCell ref="B4:F4"/>
    <mergeCell ref="B5:F5"/>
    <mergeCell ref="A1:B2"/>
    <mergeCell ref="A8:D8"/>
    <mergeCell ref="N9:N10"/>
    <mergeCell ref="A11:N11"/>
    <mergeCell ref="A12:N12"/>
    <mergeCell ref="A14:N14"/>
    <mergeCell ref="A16:N16"/>
    <mergeCell ref="K9:K10"/>
    <mergeCell ref="A30:N30"/>
    <mergeCell ref="D31:F31"/>
    <mergeCell ref="D33:F33"/>
    <mergeCell ref="D35:F35"/>
    <mergeCell ref="A32:N32"/>
    <mergeCell ref="A34:N34"/>
    <mergeCell ref="D37:F37"/>
    <mergeCell ref="D39:F39"/>
    <mergeCell ref="A36:N36"/>
    <mergeCell ref="A38:N38"/>
    <mergeCell ref="A40:N40"/>
    <mergeCell ref="D41:F41"/>
    <mergeCell ref="D43:F43"/>
    <mergeCell ref="D45:F45"/>
    <mergeCell ref="A42:N42"/>
    <mergeCell ref="A44:N44"/>
    <mergeCell ref="D53:F53"/>
    <mergeCell ref="D55:F55"/>
    <mergeCell ref="A52:N52"/>
    <mergeCell ref="A54:N54"/>
    <mergeCell ref="A56:N56"/>
    <mergeCell ref="D57:F57"/>
    <mergeCell ref="D59:F59"/>
    <mergeCell ref="D61:F61"/>
    <mergeCell ref="A58:N58"/>
    <mergeCell ref="A60:N60"/>
    <mergeCell ref="D63:F63"/>
    <mergeCell ref="D65:F65"/>
    <mergeCell ref="A62:N62"/>
    <mergeCell ref="A64:N64"/>
    <mergeCell ref="A66:N66"/>
    <mergeCell ref="D67:F67"/>
    <mergeCell ref="D69:F69"/>
    <mergeCell ref="A68:N68"/>
    <mergeCell ref="D71:F71"/>
    <mergeCell ref="D73:F73"/>
    <mergeCell ref="A70:N70"/>
    <mergeCell ref="A72:N72"/>
    <mergeCell ref="A74:N74"/>
    <mergeCell ref="D79:F79"/>
    <mergeCell ref="D75:F75"/>
    <mergeCell ref="D77:F77"/>
    <mergeCell ref="A76:N76"/>
    <mergeCell ref="A78:N78"/>
    <mergeCell ref="A92:N92"/>
    <mergeCell ref="A90:N90"/>
    <mergeCell ref="D89:F89"/>
    <mergeCell ref="D91:F91"/>
    <mergeCell ref="A80:N80"/>
    <mergeCell ref="A82:N82"/>
    <mergeCell ref="A84:N84"/>
    <mergeCell ref="A86:N86"/>
    <mergeCell ref="D81:F81"/>
    <mergeCell ref="D83:F83"/>
    <mergeCell ref="D85:F85"/>
    <mergeCell ref="A88:N88"/>
    <mergeCell ref="D87:F87"/>
  </mergeCells>
  <phoneticPr fontId="5" type="noConversion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2F11-F83E-421C-B404-CA39BB25F056}">
  <dimension ref="A1:O109"/>
  <sheetViews>
    <sheetView zoomScale="50" zoomScaleNormal="50" workbookViewId="0">
      <selection activeCell="B5" sqref="B5:F5"/>
    </sheetView>
  </sheetViews>
  <sheetFormatPr defaultColWidth="8.875" defaultRowHeight="14.25" outlineLevelRow="1"/>
  <cols>
    <col min="1" max="1" width="22.375" style="1" bestFit="1" customWidth="1"/>
    <col min="2" max="2" width="21.875" style="1" customWidth="1"/>
    <col min="3" max="3" width="39.25" style="1" customWidth="1"/>
    <col min="4" max="4" width="8.875" style="1"/>
    <col min="5" max="5" width="23.625" style="1" bestFit="1" customWidth="1"/>
    <col min="6" max="6" width="19" style="1" customWidth="1"/>
    <col min="7" max="7" width="18.5" style="1" hidden="1" customWidth="1"/>
    <col min="8" max="8" width="38" style="1" customWidth="1"/>
    <col min="9" max="9" width="17.125" style="1" customWidth="1"/>
    <col min="10" max="10" width="8.875" style="1"/>
    <col min="11" max="11" width="33.75" style="1" customWidth="1"/>
    <col min="12" max="12" width="10.625" style="1" customWidth="1"/>
    <col min="13" max="13" width="21.25" style="5" customWidth="1"/>
    <col min="14" max="14" width="34.125" style="3" customWidth="1"/>
    <col min="15" max="16384" width="8.875" style="1"/>
  </cols>
  <sheetData>
    <row r="1" spans="1:15" s="62" customFormat="1" ht="19.5" customHeight="1">
      <c r="A1" s="142" t="s">
        <v>1</v>
      </c>
      <c r="B1" s="142"/>
      <c r="C1" s="61"/>
      <c r="D1" s="61"/>
      <c r="E1" s="61"/>
      <c r="F1" s="61"/>
      <c r="G1" s="61"/>
      <c r="H1" s="61"/>
      <c r="I1" s="135"/>
      <c r="J1" s="135"/>
      <c r="K1" s="135"/>
      <c r="L1" s="135"/>
      <c r="M1" s="135"/>
      <c r="N1" s="135"/>
    </row>
    <row r="2" spans="1:15" s="62" customFormat="1" ht="11.25" customHeight="1" thickBot="1">
      <c r="A2" s="143"/>
      <c r="B2" s="143"/>
      <c r="C2" s="63"/>
      <c r="D2" s="63"/>
      <c r="E2" s="61"/>
      <c r="F2" s="61"/>
      <c r="G2" s="61"/>
      <c r="H2" s="61"/>
      <c r="I2" s="135"/>
      <c r="J2" s="135"/>
      <c r="K2" s="135"/>
      <c r="L2" s="135"/>
      <c r="M2" s="135"/>
      <c r="N2" s="135"/>
    </row>
    <row r="3" spans="1:15" s="62" customFormat="1" ht="20.100000000000001" customHeight="1">
      <c r="A3" s="64" t="s">
        <v>18</v>
      </c>
      <c r="B3" s="136" t="s">
        <v>19</v>
      </c>
      <c r="C3" s="137"/>
      <c r="D3" s="137"/>
      <c r="E3" s="137"/>
      <c r="F3" s="138"/>
      <c r="G3" s="65"/>
      <c r="H3" s="65"/>
      <c r="I3" s="135"/>
      <c r="J3" s="135"/>
      <c r="K3" s="135"/>
      <c r="L3" s="135"/>
      <c r="M3" s="135"/>
      <c r="N3" s="135"/>
    </row>
    <row r="4" spans="1:15" s="62" customFormat="1" ht="20.100000000000001" customHeight="1">
      <c r="A4" s="67" t="s">
        <v>29</v>
      </c>
      <c r="B4" s="139" t="s">
        <v>49</v>
      </c>
      <c r="C4" s="140"/>
      <c r="D4" s="140"/>
      <c r="E4" s="140"/>
      <c r="F4" s="141"/>
      <c r="G4" s="65"/>
      <c r="H4" s="65"/>
      <c r="I4" s="135"/>
      <c r="J4" s="135"/>
      <c r="K4" s="135"/>
      <c r="L4" s="135"/>
      <c r="M4" s="135"/>
      <c r="N4" s="135"/>
    </row>
    <row r="5" spans="1:15" s="70" customFormat="1" ht="20.100000000000001" customHeight="1">
      <c r="A5" s="67" t="s">
        <v>31</v>
      </c>
      <c r="B5" s="139" t="s">
        <v>13</v>
      </c>
      <c r="C5" s="140"/>
      <c r="D5" s="140"/>
      <c r="E5" s="140"/>
      <c r="F5" s="141"/>
      <c r="G5" s="68"/>
      <c r="H5" s="68"/>
      <c r="I5" s="135"/>
      <c r="J5" s="135"/>
      <c r="K5" s="135"/>
      <c r="L5" s="135"/>
      <c r="M5" s="135"/>
      <c r="N5" s="135"/>
      <c r="O5" s="69"/>
    </row>
    <row r="6" spans="1:15" s="62" customFormat="1" ht="20.100000000000001" customHeight="1">
      <c r="A6" s="78" t="s">
        <v>2</v>
      </c>
      <c r="B6" s="104">
        <f>COUNTIFS(J12:J200, "Pass", A12:A200, "&lt;&gt;*AI")</f>
        <v>0</v>
      </c>
      <c r="C6" s="105" t="s">
        <v>6</v>
      </c>
      <c r="D6" s="104">
        <f>COUNTIF(L13:L200,"Pass")</f>
        <v>0</v>
      </c>
      <c r="E6" s="106" t="s">
        <v>3</v>
      </c>
      <c r="F6" s="107">
        <f>COUNTIFS(J12:J200, "Pending", A12:A200, "&lt;&gt;*AI")</f>
        <v>0</v>
      </c>
      <c r="G6" s="71"/>
      <c r="H6" s="71"/>
      <c r="I6" s="135"/>
      <c r="J6" s="135"/>
      <c r="K6" s="135"/>
      <c r="L6" s="135"/>
      <c r="M6" s="135"/>
      <c r="N6" s="135"/>
      <c r="O6" s="66"/>
    </row>
    <row r="7" spans="1:15" s="62" customFormat="1" ht="20.100000000000001" customHeight="1" thickBot="1">
      <c r="A7" s="79" t="s">
        <v>0</v>
      </c>
      <c r="B7" s="108">
        <f>COUNTIFS(J12:J200, "Fail", A12:A200, "&lt;&gt;*AI")</f>
        <v>0</v>
      </c>
      <c r="C7" s="109" t="s">
        <v>7</v>
      </c>
      <c r="D7" s="108">
        <f>COUNTIF(L12:L200,"Fail")</f>
        <v>0</v>
      </c>
      <c r="E7" s="110" t="s">
        <v>32</v>
      </c>
      <c r="F7" s="111">
        <f>COUNTIF(A12:A200, "TC*")</f>
        <v>0</v>
      </c>
      <c r="G7" s="72"/>
      <c r="H7" s="72"/>
      <c r="I7" s="135"/>
      <c r="J7" s="135"/>
      <c r="K7" s="135"/>
      <c r="L7" s="135"/>
      <c r="M7" s="135"/>
      <c r="N7" s="135"/>
      <c r="O7" s="66"/>
    </row>
    <row r="8" spans="1:15" s="62" customFormat="1" ht="15" customHeight="1">
      <c r="A8" s="144"/>
      <c r="B8" s="144"/>
      <c r="C8" s="144"/>
      <c r="D8" s="144"/>
      <c r="E8" s="71"/>
      <c r="F8" s="71"/>
      <c r="G8" s="71"/>
      <c r="H8" s="71"/>
      <c r="I8" s="156"/>
      <c r="J8" s="156"/>
      <c r="K8" s="156"/>
      <c r="L8" s="156"/>
      <c r="M8" s="156"/>
      <c r="N8" s="156"/>
      <c r="O8" s="66"/>
    </row>
    <row r="9" spans="1:15" s="62" customFormat="1" ht="12" customHeight="1">
      <c r="A9" s="145" t="s">
        <v>33</v>
      </c>
      <c r="B9" s="145" t="s">
        <v>34</v>
      </c>
      <c r="C9" s="145" t="s">
        <v>35</v>
      </c>
      <c r="D9" s="145" t="s">
        <v>36</v>
      </c>
      <c r="E9" s="145"/>
      <c r="F9" s="145"/>
      <c r="G9" s="145"/>
      <c r="H9" s="145" t="s">
        <v>37</v>
      </c>
      <c r="I9" s="145" t="s">
        <v>38</v>
      </c>
      <c r="J9" s="145" t="s">
        <v>4</v>
      </c>
      <c r="K9" s="145" t="s">
        <v>39</v>
      </c>
      <c r="L9" s="145" t="s">
        <v>9</v>
      </c>
      <c r="M9" s="152" t="s">
        <v>26</v>
      </c>
      <c r="N9" s="145" t="s">
        <v>40</v>
      </c>
      <c r="O9" s="66"/>
    </row>
    <row r="10" spans="1:15" s="62" customFormat="1" ht="12" customHeight="1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52"/>
      <c r="N10" s="145"/>
      <c r="O10" s="66"/>
    </row>
    <row r="11" spans="1:15" ht="15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74"/>
    </row>
    <row r="12" spans="1:15" s="76" customFormat="1" ht="22.5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75"/>
    </row>
    <row r="13" spans="1:15" s="76" customFormat="1" ht="155.1" customHeight="1" outlineLevel="1">
      <c r="A13" s="15"/>
      <c r="B13" s="18"/>
      <c r="C13" s="31"/>
      <c r="D13" s="151"/>
      <c r="E13" s="151"/>
      <c r="F13" s="151"/>
      <c r="G13" s="19"/>
      <c r="H13" s="31"/>
      <c r="I13" s="20"/>
      <c r="J13" s="18"/>
      <c r="K13" s="21"/>
      <c r="L13" s="18"/>
      <c r="M13" s="22"/>
      <c r="N13" s="23"/>
    </row>
    <row r="14" spans="1:15" s="76" customFormat="1" ht="9.9499999999999993" customHeight="1" outlineLevel="1">
      <c r="A14" s="83"/>
      <c r="B14" s="83"/>
      <c r="C14" s="83"/>
      <c r="D14" s="116"/>
      <c r="E14" s="117"/>
      <c r="F14" s="118"/>
      <c r="G14" s="83"/>
      <c r="H14" s="83"/>
      <c r="I14" s="83"/>
      <c r="J14" s="83"/>
      <c r="K14" s="83"/>
      <c r="L14" s="83"/>
      <c r="M14" s="82"/>
      <c r="N14" s="83"/>
    </row>
    <row r="15" spans="1:15" s="76" customFormat="1" ht="155.1" customHeight="1" outlineLevel="1">
      <c r="A15" s="15"/>
      <c r="B15" s="18"/>
      <c r="C15" s="31"/>
      <c r="D15" s="151"/>
      <c r="E15" s="151"/>
      <c r="F15" s="151"/>
      <c r="G15" s="19"/>
      <c r="H15" s="19"/>
      <c r="I15" s="20"/>
      <c r="J15" s="18"/>
      <c r="K15" s="21"/>
      <c r="L15" s="18"/>
      <c r="M15" s="22"/>
      <c r="N15" s="18"/>
    </row>
    <row r="16" spans="1:15" s="76" customFormat="1" ht="9.9499999999999993" customHeight="1" outlineLevel="1">
      <c r="A16" s="83"/>
      <c r="B16" s="83"/>
      <c r="C16" s="83"/>
      <c r="D16" s="116"/>
      <c r="E16" s="117"/>
      <c r="F16" s="118"/>
      <c r="G16" s="83"/>
      <c r="H16" s="83"/>
      <c r="I16" s="83"/>
      <c r="J16" s="83"/>
      <c r="K16" s="83"/>
      <c r="L16" s="83"/>
      <c r="M16" s="82"/>
      <c r="N16" s="83"/>
    </row>
    <row r="17" spans="1:14" s="76" customFormat="1" ht="155.1" customHeight="1" outlineLevel="1">
      <c r="A17" s="15"/>
      <c r="B17" s="18"/>
      <c r="C17" s="31"/>
      <c r="D17" s="151"/>
      <c r="E17" s="151"/>
      <c r="F17" s="151"/>
      <c r="G17" s="19"/>
      <c r="H17" s="31"/>
      <c r="I17" s="20"/>
      <c r="J17" s="18"/>
      <c r="K17" s="21"/>
      <c r="L17" s="18"/>
      <c r="M17" s="22"/>
      <c r="N17" s="23"/>
    </row>
    <row r="18" spans="1:14" ht="9.9499999999999993" customHeight="1">
      <c r="A18" s="83"/>
      <c r="B18" s="83"/>
      <c r="C18" s="83"/>
      <c r="D18" s="116"/>
      <c r="E18" s="117"/>
      <c r="F18" s="118"/>
      <c r="G18" s="83"/>
      <c r="H18" s="83"/>
      <c r="I18" s="83"/>
      <c r="J18" s="83"/>
      <c r="K18" s="83"/>
      <c r="L18" s="83"/>
      <c r="M18" s="82"/>
      <c r="N18" s="83"/>
    </row>
    <row r="19" spans="1:14" ht="155.1" customHeight="1">
      <c r="A19" s="15"/>
      <c r="B19" s="18"/>
      <c r="C19" s="31"/>
      <c r="D19" s="151"/>
      <c r="E19" s="151"/>
      <c r="F19" s="151"/>
      <c r="G19" s="19"/>
      <c r="H19" s="31"/>
      <c r="I19" s="20"/>
      <c r="J19" s="18"/>
      <c r="K19" s="21"/>
      <c r="L19" s="18"/>
      <c r="M19" s="22"/>
      <c r="N19" s="26"/>
    </row>
    <row r="20" spans="1:14" ht="9.9499999999999993" customHeight="1">
      <c r="A20" s="83"/>
      <c r="B20" s="83"/>
      <c r="C20" s="83"/>
      <c r="D20" s="116"/>
      <c r="E20" s="117"/>
      <c r="F20" s="118"/>
      <c r="G20" s="83"/>
      <c r="H20" s="83"/>
      <c r="I20" s="83"/>
      <c r="J20" s="83"/>
      <c r="K20" s="83"/>
      <c r="L20" s="83"/>
      <c r="M20" s="82"/>
      <c r="N20" s="83"/>
    </row>
    <row r="21" spans="1:14" ht="155.1" customHeight="1">
      <c r="A21" s="15"/>
      <c r="B21" s="18"/>
      <c r="C21" s="31"/>
      <c r="D21" s="151"/>
      <c r="E21" s="151"/>
      <c r="F21" s="151"/>
      <c r="G21" s="19"/>
      <c r="H21" s="31"/>
      <c r="I21" s="20"/>
      <c r="J21" s="18"/>
      <c r="K21" s="21"/>
      <c r="L21" s="18"/>
      <c r="M21" s="22"/>
      <c r="N21" s="26"/>
    </row>
    <row r="22" spans="1:14" ht="9.9499999999999993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</row>
    <row r="23" spans="1:14" ht="155.1" customHeight="1">
      <c r="A23" s="15"/>
      <c r="B23" s="18"/>
      <c r="C23" s="31"/>
      <c r="D23" s="151"/>
      <c r="E23" s="151"/>
      <c r="F23" s="151"/>
      <c r="G23" s="19"/>
      <c r="H23" s="31"/>
      <c r="I23" s="20"/>
      <c r="J23" s="18"/>
      <c r="K23" s="21"/>
      <c r="L23" s="18"/>
      <c r="M23" s="22"/>
      <c r="N23" s="26"/>
    </row>
    <row r="24" spans="1:14" ht="9.9499999999999993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</row>
    <row r="25" spans="1:14" ht="155.1" customHeight="1">
      <c r="A25" s="15"/>
      <c r="B25" s="18"/>
      <c r="C25" s="31"/>
      <c r="D25" s="151"/>
      <c r="E25" s="151"/>
      <c r="F25" s="151"/>
      <c r="G25" s="19"/>
      <c r="H25" s="19"/>
      <c r="I25" s="20"/>
      <c r="J25" s="18"/>
      <c r="K25" s="21"/>
      <c r="L25" s="18"/>
      <c r="M25" s="22"/>
      <c r="N25" s="28"/>
    </row>
    <row r="26" spans="1:14" ht="9.9499999999999993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</row>
    <row r="27" spans="1:14" ht="155.1" customHeight="1">
      <c r="A27" s="15"/>
      <c r="B27" s="18"/>
      <c r="C27" s="31"/>
      <c r="D27" s="151"/>
      <c r="E27" s="151"/>
      <c r="F27" s="151"/>
      <c r="G27" s="19"/>
      <c r="H27" s="31"/>
      <c r="I27" s="20"/>
      <c r="J27" s="18"/>
      <c r="K27" s="21"/>
      <c r="L27" s="18"/>
      <c r="M27" s="22"/>
      <c r="N27" s="28"/>
    </row>
    <row r="28" spans="1:14" ht="9.9499999999999993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</row>
    <row r="29" spans="1:14" ht="155.1" customHeight="1">
      <c r="A29" s="15"/>
      <c r="B29" s="18"/>
      <c r="C29" s="31"/>
      <c r="D29" s="151"/>
      <c r="E29" s="151"/>
      <c r="F29" s="151"/>
      <c r="G29" s="19"/>
      <c r="H29" s="31"/>
      <c r="I29" s="20"/>
      <c r="J29" s="18"/>
      <c r="K29" s="21"/>
      <c r="L29" s="18"/>
      <c r="M29" s="22"/>
      <c r="N29" s="26"/>
    </row>
    <row r="30" spans="1:14" ht="9.9499999999999993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</row>
    <row r="31" spans="1:14" ht="155.1" customHeight="1">
      <c r="A31" s="15"/>
      <c r="B31" s="18"/>
      <c r="C31" s="31"/>
      <c r="D31" s="151"/>
      <c r="E31" s="151"/>
      <c r="F31" s="151"/>
      <c r="G31" s="19"/>
      <c r="H31" s="31"/>
      <c r="I31" s="20"/>
      <c r="J31" s="18"/>
      <c r="K31" s="21"/>
      <c r="L31" s="18"/>
      <c r="M31" s="22"/>
      <c r="N31" s="26"/>
    </row>
    <row r="32" spans="1:14" ht="9.9499999999999993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</row>
    <row r="33" spans="1:14" ht="155.1" customHeight="1">
      <c r="A33" s="15"/>
      <c r="B33" s="18"/>
      <c r="C33" s="31"/>
      <c r="D33" s="151"/>
      <c r="E33" s="151"/>
      <c r="F33" s="151"/>
      <c r="G33" s="19"/>
      <c r="H33" s="21"/>
      <c r="I33" s="20"/>
      <c r="J33" s="18"/>
      <c r="K33" s="27"/>
      <c r="L33" s="18"/>
      <c r="M33" s="22"/>
      <c r="N33" s="26"/>
    </row>
    <row r="34" spans="1:14" ht="9.9499999999999993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</row>
    <row r="35" spans="1:14" ht="155.1" customHeight="1">
      <c r="A35" s="15"/>
      <c r="B35" s="18"/>
      <c r="C35" s="31"/>
      <c r="D35" s="151"/>
      <c r="E35" s="151"/>
      <c r="F35" s="151"/>
      <c r="G35" s="19"/>
      <c r="H35" s="21"/>
      <c r="I35" s="20"/>
      <c r="J35" s="18"/>
      <c r="K35" s="27"/>
      <c r="L35" s="18"/>
      <c r="M35" s="22"/>
      <c r="N35" s="26"/>
    </row>
    <row r="36" spans="1:14" ht="9.9499999999999993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</row>
    <row r="37" spans="1:14" ht="155.1" customHeight="1">
      <c r="A37" s="15"/>
      <c r="B37" s="18"/>
      <c r="C37" s="31"/>
      <c r="D37" s="151"/>
      <c r="E37" s="151"/>
      <c r="F37" s="151"/>
      <c r="G37" s="19"/>
      <c r="H37" s="21"/>
      <c r="I37" s="20"/>
      <c r="J37" s="18"/>
      <c r="K37" s="27"/>
      <c r="L37" s="18"/>
      <c r="M37" s="22"/>
      <c r="N37" s="26"/>
    </row>
    <row r="38" spans="1:14" ht="9.9499999999999993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</row>
    <row r="39" spans="1:14" ht="155.1" customHeight="1">
      <c r="A39" s="15"/>
      <c r="B39" s="18"/>
      <c r="C39" s="31"/>
      <c r="D39" s="151"/>
      <c r="E39" s="151"/>
      <c r="F39" s="151"/>
      <c r="G39" s="19"/>
      <c r="H39" s="21"/>
      <c r="I39" s="20"/>
      <c r="J39" s="18"/>
      <c r="K39" s="27"/>
      <c r="L39" s="18"/>
      <c r="M39" s="22"/>
      <c r="N39" s="42"/>
    </row>
    <row r="40" spans="1:14" ht="9.9499999999999993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</row>
    <row r="41" spans="1:14" ht="155.1" customHeight="1">
      <c r="A41" s="15"/>
      <c r="B41" s="18"/>
      <c r="C41" s="31"/>
      <c r="D41" s="151"/>
      <c r="E41" s="151"/>
      <c r="F41" s="151"/>
      <c r="G41" s="19"/>
      <c r="H41" s="21"/>
      <c r="I41" s="20"/>
      <c r="J41" s="18"/>
      <c r="K41" s="27"/>
      <c r="L41" s="18"/>
      <c r="M41" s="22"/>
      <c r="N41" s="42"/>
    </row>
    <row r="42" spans="1:14" ht="17.2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</row>
    <row r="43" spans="1:14" ht="140.1" customHeight="1">
      <c r="A43" s="15"/>
      <c r="B43" s="18"/>
      <c r="C43" s="31"/>
      <c r="D43" s="131"/>
      <c r="E43" s="131"/>
      <c r="F43" s="131"/>
      <c r="G43" s="19"/>
      <c r="H43" s="31"/>
      <c r="I43" s="20"/>
      <c r="J43" s="18"/>
      <c r="K43" s="21"/>
      <c r="L43" s="18"/>
      <c r="M43" s="22"/>
      <c r="N43" s="28"/>
    </row>
    <row r="44" spans="1:14" ht="9.9499999999999993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</row>
    <row r="45" spans="1:14" ht="168.75" customHeight="1">
      <c r="A45" s="15"/>
      <c r="B45" s="18"/>
      <c r="C45" s="31"/>
      <c r="D45" s="131"/>
      <c r="E45" s="131"/>
      <c r="F45" s="131"/>
      <c r="G45" s="19"/>
      <c r="H45" s="19"/>
      <c r="I45" s="20"/>
      <c r="J45" s="18"/>
      <c r="K45" s="21"/>
      <c r="L45" s="18"/>
      <c r="M45" s="22"/>
      <c r="N45" s="26"/>
    </row>
    <row r="46" spans="1:14" ht="9.9499999999999993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</row>
    <row r="47" spans="1:14" ht="154.5" customHeight="1">
      <c r="A47" s="15"/>
      <c r="B47" s="18"/>
      <c r="C47" s="31"/>
      <c r="D47" s="131"/>
      <c r="E47" s="131"/>
      <c r="F47" s="131"/>
      <c r="G47" s="19"/>
      <c r="H47" s="31"/>
      <c r="I47" s="20"/>
      <c r="J47" s="18"/>
      <c r="K47" s="21"/>
      <c r="L47" s="18"/>
      <c r="M47" s="22"/>
      <c r="N47" s="26"/>
    </row>
    <row r="48" spans="1:14" ht="9.9499999999999993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</row>
    <row r="49" spans="1:14" ht="158.25" customHeight="1">
      <c r="A49" s="15"/>
      <c r="B49" s="18"/>
      <c r="C49" s="31"/>
      <c r="D49" s="131"/>
      <c r="E49" s="131"/>
      <c r="F49" s="131"/>
      <c r="G49" s="19"/>
      <c r="H49" s="31"/>
      <c r="I49" s="20"/>
      <c r="J49" s="18"/>
      <c r="K49" s="21"/>
      <c r="L49" s="18"/>
      <c r="M49" s="22"/>
      <c r="N49" s="28"/>
    </row>
    <row r="50" spans="1:14" ht="9.9499999999999993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</row>
    <row r="51" spans="1:14" ht="157.5" customHeight="1">
      <c r="A51" s="15"/>
      <c r="B51" s="18"/>
      <c r="C51" s="31"/>
      <c r="D51" s="131"/>
      <c r="E51" s="131"/>
      <c r="F51" s="131"/>
      <c r="G51" s="19"/>
      <c r="H51" s="31"/>
      <c r="I51" s="20"/>
      <c r="J51" s="18"/>
      <c r="K51" s="21"/>
      <c r="L51" s="18"/>
      <c r="M51" s="22"/>
      <c r="N51" s="26"/>
    </row>
    <row r="52" spans="1:14" ht="9.9499999999999993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</row>
    <row r="53" spans="1:14" ht="162.75" customHeight="1">
      <c r="A53" s="15"/>
      <c r="B53" s="18"/>
      <c r="C53" s="31"/>
      <c r="D53" s="131"/>
      <c r="E53" s="131"/>
      <c r="F53" s="131"/>
      <c r="G53" s="19"/>
      <c r="H53" s="21"/>
      <c r="I53" s="20"/>
      <c r="J53" s="18"/>
      <c r="K53" s="21"/>
      <c r="L53" s="18"/>
      <c r="M53" s="22"/>
      <c r="N53" s="28"/>
    </row>
    <row r="54" spans="1:14" ht="9.9499999999999993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</row>
    <row r="55" spans="1:14" ht="149.25" customHeight="1">
      <c r="A55" s="15"/>
      <c r="B55" s="18"/>
      <c r="C55" s="31"/>
      <c r="D55" s="131"/>
      <c r="E55" s="131"/>
      <c r="F55" s="131"/>
      <c r="G55" s="19"/>
      <c r="H55" s="21"/>
      <c r="I55" s="20"/>
      <c r="J55" s="18"/>
      <c r="K55" s="21"/>
      <c r="L55" s="18"/>
      <c r="M55" s="22"/>
      <c r="N55" s="26"/>
    </row>
    <row r="56" spans="1:14" ht="9.9499999999999993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</row>
    <row r="57" spans="1:14" ht="158.25" customHeight="1">
      <c r="A57" s="15"/>
      <c r="B57" s="18"/>
      <c r="C57" s="31"/>
      <c r="D57" s="131"/>
      <c r="E57" s="131"/>
      <c r="F57" s="131"/>
      <c r="G57" s="19"/>
      <c r="H57" s="21"/>
      <c r="I57" s="20"/>
      <c r="J57" s="18"/>
      <c r="L57" s="18"/>
      <c r="M57" s="22"/>
      <c r="N57" s="42"/>
    </row>
    <row r="58" spans="1:14" ht="21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</row>
    <row r="59" spans="1:14" ht="140.1" customHeight="1">
      <c r="A59" s="15"/>
      <c r="B59" s="18"/>
      <c r="C59" s="31"/>
      <c r="D59" s="131"/>
      <c r="E59" s="131"/>
      <c r="F59" s="131"/>
      <c r="G59" s="19"/>
      <c r="H59" s="31"/>
      <c r="I59" s="20"/>
      <c r="J59" s="18"/>
      <c r="K59" s="21"/>
      <c r="L59" s="18"/>
      <c r="M59" s="22"/>
      <c r="N59" s="26"/>
    </row>
    <row r="60" spans="1:14" ht="9.9499999999999993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</row>
    <row r="61" spans="1:14" ht="140.1" customHeight="1">
      <c r="A61" s="15"/>
      <c r="B61" s="18"/>
      <c r="C61" s="31"/>
      <c r="D61" s="131"/>
      <c r="E61" s="131"/>
      <c r="F61" s="131"/>
      <c r="G61" s="19"/>
      <c r="H61" s="31"/>
      <c r="I61" s="20"/>
      <c r="J61" s="18"/>
      <c r="K61" s="21"/>
      <c r="L61" s="18"/>
      <c r="M61" s="22"/>
      <c r="N61" s="26"/>
    </row>
    <row r="62" spans="1:14" ht="9.9499999999999993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</row>
    <row r="63" spans="1:14" ht="140.1" customHeight="1">
      <c r="A63" s="15"/>
      <c r="B63" s="18"/>
      <c r="C63" s="31"/>
      <c r="D63" s="131"/>
      <c r="E63" s="131"/>
      <c r="F63" s="131"/>
      <c r="G63" s="19"/>
      <c r="H63" s="18"/>
      <c r="I63" s="20"/>
      <c r="J63" s="18"/>
      <c r="K63" s="21"/>
      <c r="L63" s="18"/>
      <c r="M63" s="22"/>
      <c r="N63" s="28"/>
    </row>
    <row r="64" spans="1:14" ht="9.9499999999999993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</row>
    <row r="65" spans="1:14" ht="140.1" customHeight="1">
      <c r="A65" s="15"/>
      <c r="B65" s="18"/>
      <c r="C65" s="31"/>
      <c r="D65" s="131"/>
      <c r="E65" s="131"/>
      <c r="F65" s="131"/>
      <c r="G65" s="19"/>
      <c r="H65" s="31"/>
      <c r="I65" s="20"/>
      <c r="J65" s="18"/>
      <c r="K65" s="21"/>
      <c r="L65" s="18"/>
      <c r="M65" s="22"/>
      <c r="N65" s="26"/>
    </row>
    <row r="66" spans="1:14" ht="16.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</row>
    <row r="67" spans="1:14" ht="140.1" customHeight="1">
      <c r="A67" s="15"/>
      <c r="B67" s="18"/>
      <c r="C67" s="31"/>
      <c r="D67" s="131"/>
      <c r="E67" s="131"/>
      <c r="F67" s="131"/>
      <c r="G67" s="19"/>
      <c r="H67" s="18"/>
      <c r="I67" s="20"/>
      <c r="J67" s="18"/>
      <c r="K67" s="21"/>
      <c r="L67" s="18"/>
      <c r="M67" s="22"/>
      <c r="N67" s="28"/>
    </row>
    <row r="68" spans="1:14" ht="11.2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</row>
    <row r="69" spans="1:14" ht="142.5" customHeight="1">
      <c r="A69" s="15"/>
      <c r="B69" s="18"/>
      <c r="C69" s="31"/>
      <c r="D69" s="131"/>
      <c r="E69" s="131"/>
      <c r="F69" s="131"/>
      <c r="G69" s="19"/>
      <c r="H69" s="18"/>
      <c r="I69" s="20"/>
      <c r="J69" s="18"/>
      <c r="K69" s="21"/>
      <c r="L69" s="18"/>
      <c r="M69" s="22"/>
      <c r="N69" s="28"/>
    </row>
    <row r="70" spans="1:14" ht="9.9499999999999993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</row>
    <row r="71" spans="1:14" ht="140.1" customHeight="1">
      <c r="A71" s="15"/>
      <c r="B71" s="18"/>
      <c r="C71" s="31"/>
      <c r="D71" s="131"/>
      <c r="E71" s="131"/>
      <c r="F71" s="131"/>
      <c r="G71" s="19"/>
      <c r="H71" s="84"/>
      <c r="I71" s="20"/>
      <c r="J71" s="18"/>
      <c r="K71" s="21"/>
      <c r="L71" s="18"/>
      <c r="M71" s="22"/>
      <c r="N71" s="28"/>
    </row>
    <row r="72" spans="1:14" ht="9.9499999999999993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</row>
    <row r="73" spans="1:14" ht="140.1" customHeight="1">
      <c r="A73" s="15"/>
      <c r="B73" s="18"/>
      <c r="C73" s="31"/>
      <c r="D73" s="131"/>
      <c r="E73" s="131"/>
      <c r="F73" s="131"/>
      <c r="G73" s="19"/>
      <c r="H73" s="18"/>
      <c r="I73" s="20"/>
      <c r="J73" s="18"/>
      <c r="K73" s="21"/>
      <c r="L73" s="18"/>
      <c r="M73" s="22"/>
      <c r="N73" s="28"/>
    </row>
    <row r="74" spans="1:14" ht="9.9499999999999993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</row>
    <row r="75" spans="1:14" ht="140.1" customHeight="1">
      <c r="A75" s="15"/>
      <c r="B75" s="18"/>
      <c r="C75" s="31"/>
      <c r="D75" s="131"/>
      <c r="E75" s="131"/>
      <c r="F75" s="131"/>
      <c r="G75" s="19"/>
      <c r="H75" s="18"/>
      <c r="I75" s="20"/>
      <c r="J75" s="18"/>
      <c r="K75" s="21"/>
      <c r="L75" s="18"/>
      <c r="M75" s="22"/>
      <c r="N75" s="28"/>
    </row>
    <row r="76" spans="1:14" ht="9.9499999999999993" customHeight="1">
      <c r="A76" s="116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8"/>
    </row>
    <row r="77" spans="1:14" ht="140.1" customHeight="1">
      <c r="A77" s="15"/>
      <c r="B77" s="18"/>
      <c r="C77" s="31"/>
      <c r="D77" s="128"/>
      <c r="E77" s="129"/>
      <c r="F77" s="130"/>
      <c r="G77" s="19"/>
      <c r="H77" s="18"/>
      <c r="I77" s="20"/>
      <c r="J77" s="18"/>
      <c r="K77" s="21"/>
      <c r="L77" s="18"/>
      <c r="M77" s="22"/>
      <c r="N77" s="28"/>
    </row>
    <row r="78" spans="1:14" ht="9.9499999999999993" customHeight="1">
      <c r="A78" s="116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8"/>
    </row>
    <row r="79" spans="1:14" ht="140.1" customHeight="1"/>
    <row r="80" spans="1:14" ht="9.9499999999999993" customHeight="1"/>
    <row r="81" spans="14:14" ht="140.1" customHeight="1"/>
    <row r="82" spans="14:14">
      <c r="N82" s="1"/>
    </row>
    <row r="83" spans="14:14" ht="52.5" customHeight="1">
      <c r="N83" s="1"/>
    </row>
    <row r="84" spans="14:14">
      <c r="N84" s="1"/>
    </row>
    <row r="85" spans="14:14" ht="55.5" customHeight="1">
      <c r="N85" s="1"/>
    </row>
    <row r="86" spans="14:14" ht="24" customHeight="1">
      <c r="N86" s="1"/>
    </row>
    <row r="87" spans="14:14" ht="69" customHeight="1">
      <c r="N87" s="1"/>
    </row>
    <row r="89" spans="14:14" ht="64.5" customHeight="1"/>
    <row r="91" spans="14:14" ht="76.5" customHeight="1"/>
    <row r="93" spans="14:14" ht="77.25" customHeight="1"/>
    <row r="95" spans="14:14" ht="82.5" customHeight="1"/>
    <row r="97" spans="14:14" ht="69" customHeight="1"/>
    <row r="99" spans="14:14" ht="71.25" customHeight="1"/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</sheetData>
  <mergeCells count="85">
    <mergeCell ref="A24:N24"/>
    <mergeCell ref="A26:N26"/>
    <mergeCell ref="A30:N30"/>
    <mergeCell ref="A28:N28"/>
    <mergeCell ref="N9:N10"/>
    <mergeCell ref="H9:H10"/>
    <mergeCell ref="I9:I10"/>
    <mergeCell ref="J9:J10"/>
    <mergeCell ref="D14:F14"/>
    <mergeCell ref="D16:F16"/>
    <mergeCell ref="D18:F18"/>
    <mergeCell ref="D20:F20"/>
    <mergeCell ref="A22:N22"/>
    <mergeCell ref="I1:N8"/>
    <mergeCell ref="A11:N11"/>
    <mergeCell ref="A12:N12"/>
    <mergeCell ref="D35:F35"/>
    <mergeCell ref="D37:F37"/>
    <mergeCell ref="D23:F23"/>
    <mergeCell ref="D25:F25"/>
    <mergeCell ref="D27:F27"/>
    <mergeCell ref="D19:F19"/>
    <mergeCell ref="D21:F21"/>
    <mergeCell ref="D15:F15"/>
    <mergeCell ref="D17:F17"/>
    <mergeCell ref="K9:K10"/>
    <mergeCell ref="L9:L10"/>
    <mergeCell ref="M9:M10"/>
    <mergeCell ref="D13:F13"/>
    <mergeCell ref="A78:N78"/>
    <mergeCell ref="D39:F39"/>
    <mergeCell ref="D41:F41"/>
    <mergeCell ref="A32:N32"/>
    <mergeCell ref="A34:N34"/>
    <mergeCell ref="A36:N36"/>
    <mergeCell ref="A38:N38"/>
    <mergeCell ref="A40:N40"/>
    <mergeCell ref="D33:F33"/>
    <mergeCell ref="D69:F69"/>
    <mergeCell ref="A66:N66"/>
    <mergeCell ref="A68:N68"/>
    <mergeCell ref="A70:N70"/>
    <mergeCell ref="D77:F77"/>
    <mergeCell ref="A76:N76"/>
    <mergeCell ref="D71:F71"/>
    <mergeCell ref="D73:F73"/>
    <mergeCell ref="D75:F75"/>
    <mergeCell ref="A72:N72"/>
    <mergeCell ref="A74:N74"/>
    <mergeCell ref="D61:F61"/>
    <mergeCell ref="D63:F63"/>
    <mergeCell ref="A62:N62"/>
    <mergeCell ref="A64:N64"/>
    <mergeCell ref="D67:F67"/>
    <mergeCell ref="D57:F57"/>
    <mergeCell ref="D59:F59"/>
    <mergeCell ref="A56:N56"/>
    <mergeCell ref="A58:N58"/>
    <mergeCell ref="A60:N60"/>
    <mergeCell ref="D51:F51"/>
    <mergeCell ref="D53:F53"/>
    <mergeCell ref="D55:F55"/>
    <mergeCell ref="A52:N52"/>
    <mergeCell ref="A54:N54"/>
    <mergeCell ref="D47:F47"/>
    <mergeCell ref="D49:F49"/>
    <mergeCell ref="A46:N46"/>
    <mergeCell ref="A48:N48"/>
    <mergeCell ref="A50:N50"/>
    <mergeCell ref="B5:F5"/>
    <mergeCell ref="A1:B2"/>
    <mergeCell ref="B3:F3"/>
    <mergeCell ref="B4:F4"/>
    <mergeCell ref="D65:F65"/>
    <mergeCell ref="A8:D8"/>
    <mergeCell ref="A9:A10"/>
    <mergeCell ref="B9:B10"/>
    <mergeCell ref="C9:C10"/>
    <mergeCell ref="D9:G10"/>
    <mergeCell ref="D43:F43"/>
    <mergeCell ref="D45:F45"/>
    <mergeCell ref="A42:N42"/>
    <mergeCell ref="A44:N44"/>
    <mergeCell ref="D29:F29"/>
    <mergeCell ref="D31:F3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7650-58B3-4BC9-AA30-2FF0E26B2941}">
  <dimension ref="A1:O109"/>
  <sheetViews>
    <sheetView zoomScale="50" zoomScaleNormal="50" workbookViewId="0">
      <selection activeCell="B5" sqref="B5:F5"/>
    </sheetView>
  </sheetViews>
  <sheetFormatPr defaultColWidth="8.875" defaultRowHeight="14.25" outlineLevelRow="1"/>
  <cols>
    <col min="1" max="1" width="22.375" style="1" bestFit="1" customWidth="1"/>
    <col min="2" max="2" width="21" style="1" customWidth="1"/>
    <col min="3" max="3" width="36" style="1" customWidth="1"/>
    <col min="4" max="4" width="8.875" style="1"/>
    <col min="5" max="5" width="23.625" style="1" bestFit="1" customWidth="1"/>
    <col min="6" max="6" width="19" style="1" customWidth="1"/>
    <col min="7" max="7" width="18.5" style="1" hidden="1" customWidth="1"/>
    <col min="8" max="8" width="38" style="1" customWidth="1"/>
    <col min="9" max="9" width="17.125" style="1" customWidth="1"/>
    <col min="10" max="10" width="8.875" style="1"/>
    <col min="11" max="11" width="33.75" style="1" customWidth="1"/>
    <col min="12" max="12" width="10.625" style="1" customWidth="1"/>
    <col min="13" max="13" width="21.25" style="5" customWidth="1"/>
    <col min="14" max="14" width="34.125" style="3" customWidth="1"/>
    <col min="15" max="16384" width="8.875" style="1"/>
  </cols>
  <sheetData>
    <row r="1" spans="1:15" s="62" customFormat="1" ht="19.5" customHeight="1">
      <c r="A1" s="142" t="s">
        <v>1</v>
      </c>
      <c r="B1" s="142"/>
      <c r="C1" s="61"/>
      <c r="D1" s="61"/>
      <c r="E1" s="61"/>
      <c r="F1" s="61"/>
      <c r="G1" s="61"/>
      <c r="H1" s="61"/>
      <c r="I1" s="135"/>
      <c r="J1" s="135"/>
      <c r="K1" s="135"/>
      <c r="L1" s="135"/>
      <c r="M1" s="135"/>
      <c r="N1" s="135"/>
    </row>
    <row r="2" spans="1:15" s="62" customFormat="1" ht="11.25" customHeight="1" thickBot="1">
      <c r="A2" s="143"/>
      <c r="B2" s="143"/>
      <c r="C2" s="63"/>
      <c r="D2" s="63"/>
      <c r="E2" s="61"/>
      <c r="F2" s="61"/>
      <c r="G2" s="61"/>
      <c r="H2" s="61"/>
      <c r="I2" s="135"/>
      <c r="J2" s="135"/>
      <c r="K2" s="135"/>
      <c r="L2" s="135"/>
      <c r="M2" s="135"/>
      <c r="N2" s="135"/>
    </row>
    <row r="3" spans="1:15" s="62" customFormat="1" ht="20.100000000000001" customHeight="1">
      <c r="A3" s="64" t="s">
        <v>18</v>
      </c>
      <c r="B3" s="136" t="s">
        <v>19</v>
      </c>
      <c r="C3" s="137"/>
      <c r="D3" s="137"/>
      <c r="E3" s="137"/>
      <c r="F3" s="138"/>
      <c r="G3" s="65"/>
      <c r="H3" s="65"/>
      <c r="I3" s="135"/>
      <c r="J3" s="135"/>
      <c r="K3" s="135"/>
      <c r="L3" s="135"/>
      <c r="M3" s="135"/>
      <c r="N3" s="135"/>
    </row>
    <row r="4" spans="1:15" s="62" customFormat="1" ht="20.100000000000001" customHeight="1">
      <c r="A4" s="67" t="s">
        <v>29</v>
      </c>
      <c r="B4" s="139" t="s">
        <v>50</v>
      </c>
      <c r="C4" s="140"/>
      <c r="D4" s="140"/>
      <c r="E4" s="140"/>
      <c r="F4" s="141"/>
      <c r="G4" s="65"/>
      <c r="H4" s="65"/>
      <c r="I4" s="135"/>
      <c r="J4" s="135"/>
      <c r="K4" s="135"/>
      <c r="L4" s="135"/>
      <c r="M4" s="135"/>
      <c r="N4" s="135"/>
    </row>
    <row r="5" spans="1:15" s="70" customFormat="1" ht="20.100000000000001" customHeight="1">
      <c r="A5" s="67" t="s">
        <v>31</v>
      </c>
      <c r="B5" s="139" t="s">
        <v>13</v>
      </c>
      <c r="C5" s="140"/>
      <c r="D5" s="140"/>
      <c r="E5" s="140"/>
      <c r="F5" s="141"/>
      <c r="G5" s="68"/>
      <c r="H5" s="68"/>
      <c r="I5" s="135"/>
      <c r="J5" s="135"/>
      <c r="K5" s="135"/>
      <c r="L5" s="135"/>
      <c r="M5" s="135"/>
      <c r="N5" s="135"/>
      <c r="O5" s="69"/>
    </row>
    <row r="6" spans="1:15" s="62" customFormat="1" ht="20.100000000000001" customHeight="1">
      <c r="A6" s="78" t="s">
        <v>2</v>
      </c>
      <c r="B6" s="104">
        <f>COUNTIFS(J12:J200, "Pass", A12:A200, "&lt;&gt;*AI")</f>
        <v>0</v>
      </c>
      <c r="C6" s="105" t="s">
        <v>6</v>
      </c>
      <c r="D6" s="104">
        <f>COUNTIF(L13:L200,"Pass")</f>
        <v>0</v>
      </c>
      <c r="E6" s="106" t="s">
        <v>3</v>
      </c>
      <c r="F6" s="107">
        <f>COUNTIFS(J12:J200, "Pending", A12:A200, "&lt;&gt;*AI")</f>
        <v>0</v>
      </c>
      <c r="G6" s="71"/>
      <c r="H6" s="71"/>
      <c r="I6" s="135"/>
      <c r="J6" s="135"/>
      <c r="K6" s="135"/>
      <c r="L6" s="135"/>
      <c r="M6" s="135"/>
      <c r="N6" s="135"/>
      <c r="O6" s="66"/>
    </row>
    <row r="7" spans="1:15" s="62" customFormat="1" ht="20.100000000000001" customHeight="1" thickBot="1">
      <c r="A7" s="79" t="s">
        <v>0</v>
      </c>
      <c r="B7" s="108">
        <f>COUNTIFS(J12:J200, "Fail", A12:A200, "&lt;&gt;*AI")</f>
        <v>0</v>
      </c>
      <c r="C7" s="109" t="s">
        <v>7</v>
      </c>
      <c r="D7" s="108">
        <f>COUNTIF(L12:L200,"Fail")</f>
        <v>0</v>
      </c>
      <c r="E7" s="110" t="s">
        <v>32</v>
      </c>
      <c r="F7" s="111">
        <f>COUNTIF(A12:A200, "TC*")</f>
        <v>0</v>
      </c>
      <c r="G7" s="72"/>
      <c r="H7" s="72"/>
      <c r="I7" s="135"/>
      <c r="J7" s="135"/>
      <c r="K7" s="135"/>
      <c r="L7" s="135"/>
      <c r="M7" s="135"/>
      <c r="N7" s="135"/>
      <c r="O7" s="66"/>
    </row>
    <row r="8" spans="1:15" s="62" customFormat="1" ht="15" customHeight="1">
      <c r="A8" s="144"/>
      <c r="B8" s="144"/>
      <c r="C8" s="144"/>
      <c r="D8" s="144"/>
      <c r="E8" s="71"/>
      <c r="F8" s="71"/>
      <c r="G8" s="71"/>
      <c r="H8" s="71"/>
      <c r="I8" s="156"/>
      <c r="J8" s="156"/>
      <c r="K8" s="156"/>
      <c r="L8" s="156"/>
      <c r="M8" s="156"/>
      <c r="N8" s="156"/>
      <c r="O8" s="66"/>
    </row>
    <row r="9" spans="1:15" s="62" customFormat="1" ht="12" customHeight="1">
      <c r="A9" s="145" t="s">
        <v>33</v>
      </c>
      <c r="B9" s="145" t="s">
        <v>34</v>
      </c>
      <c r="C9" s="145" t="s">
        <v>35</v>
      </c>
      <c r="D9" s="145" t="s">
        <v>36</v>
      </c>
      <c r="E9" s="145"/>
      <c r="F9" s="145"/>
      <c r="G9" s="145"/>
      <c r="H9" s="145" t="s">
        <v>37</v>
      </c>
      <c r="I9" s="145" t="s">
        <v>38</v>
      </c>
      <c r="J9" s="145" t="s">
        <v>4</v>
      </c>
      <c r="K9" s="145" t="s">
        <v>39</v>
      </c>
      <c r="L9" s="145" t="s">
        <v>9</v>
      </c>
      <c r="M9" s="152" t="s">
        <v>26</v>
      </c>
      <c r="N9" s="145" t="s">
        <v>40</v>
      </c>
      <c r="O9" s="66"/>
    </row>
    <row r="10" spans="1:15" s="62" customFormat="1" ht="12" customHeight="1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52"/>
      <c r="N10" s="145"/>
      <c r="O10" s="66"/>
    </row>
    <row r="11" spans="1:15" ht="15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74"/>
    </row>
    <row r="12" spans="1:15" s="76" customFormat="1" ht="22.5" customHeight="1">
      <c r="A12" s="147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75"/>
    </row>
    <row r="13" spans="1:15" s="76" customFormat="1" ht="140.1" customHeight="1" outlineLevel="1">
      <c r="A13" s="15"/>
      <c r="B13" s="18"/>
      <c r="C13" s="31"/>
      <c r="D13" s="131"/>
      <c r="E13" s="131"/>
      <c r="F13" s="131"/>
      <c r="G13" s="19"/>
      <c r="H13" s="31"/>
      <c r="I13" s="20"/>
      <c r="J13" s="18"/>
      <c r="K13" s="21"/>
      <c r="L13" s="18"/>
      <c r="M13" s="22"/>
      <c r="N13" s="23"/>
    </row>
    <row r="14" spans="1:15" s="76" customFormat="1" ht="12.75" customHeight="1" outlineLevel="1">
      <c r="A14" s="83"/>
      <c r="B14" s="83"/>
      <c r="C14" s="83"/>
      <c r="D14" s="116"/>
      <c r="E14" s="117"/>
      <c r="F14" s="118"/>
      <c r="G14" s="83"/>
      <c r="H14" s="83"/>
      <c r="I14" s="83"/>
      <c r="J14" s="83"/>
      <c r="K14" s="83"/>
      <c r="L14" s="83"/>
      <c r="M14" s="82"/>
      <c r="N14" s="83"/>
    </row>
    <row r="15" spans="1:15" s="76" customFormat="1" ht="140.1" customHeight="1" outlineLevel="1">
      <c r="A15" s="15"/>
      <c r="B15" s="18"/>
      <c r="C15" s="31"/>
      <c r="D15" s="131"/>
      <c r="E15" s="131"/>
      <c r="F15" s="131"/>
      <c r="G15" s="19"/>
      <c r="H15" s="19"/>
      <c r="I15" s="20"/>
      <c r="J15" s="18"/>
      <c r="K15" s="21"/>
      <c r="L15" s="18"/>
      <c r="M15" s="22"/>
      <c r="N15" s="18"/>
    </row>
    <row r="16" spans="1:15" s="76" customFormat="1" ht="13.5" customHeight="1" outlineLevel="1">
      <c r="A16" s="83"/>
      <c r="B16" s="83"/>
      <c r="C16" s="83"/>
      <c r="D16" s="116"/>
      <c r="E16" s="117"/>
      <c r="F16" s="118"/>
      <c r="G16" s="83"/>
      <c r="H16" s="83"/>
      <c r="I16" s="83"/>
      <c r="J16" s="83"/>
      <c r="K16" s="83"/>
      <c r="L16" s="83"/>
      <c r="M16" s="82"/>
      <c r="N16" s="83"/>
    </row>
    <row r="17" spans="1:14" s="76" customFormat="1" ht="140.1" customHeight="1" outlineLevel="1">
      <c r="A17" s="15"/>
      <c r="B17" s="18"/>
      <c r="C17" s="31"/>
      <c r="D17" s="131"/>
      <c r="E17" s="131"/>
      <c r="F17" s="131"/>
      <c r="G17" s="19"/>
      <c r="H17" s="31"/>
      <c r="I17" s="20"/>
      <c r="J17" s="18"/>
      <c r="K17" s="21"/>
      <c r="L17" s="18"/>
      <c r="M17" s="22"/>
      <c r="N17" s="23"/>
    </row>
    <row r="18" spans="1:14" ht="17.2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1:14" ht="140.1" customHeight="1">
      <c r="A19" s="15"/>
      <c r="B19" s="18"/>
      <c r="C19" s="31"/>
      <c r="D19" s="131"/>
      <c r="E19" s="131"/>
      <c r="F19" s="131"/>
      <c r="G19" s="19"/>
      <c r="H19" s="31"/>
      <c r="I19" s="20"/>
      <c r="J19" s="18"/>
      <c r="K19" s="21"/>
      <c r="L19" s="18"/>
      <c r="M19" s="22"/>
      <c r="N19" s="42"/>
    </row>
    <row r="20" spans="1:14" ht="12" customHeight="1">
      <c r="A20" s="83"/>
      <c r="B20" s="83"/>
      <c r="C20" s="83"/>
      <c r="D20" s="116"/>
      <c r="E20" s="117"/>
      <c r="F20" s="118"/>
      <c r="G20" s="83"/>
      <c r="H20" s="83"/>
      <c r="I20" s="83"/>
      <c r="J20" s="83"/>
      <c r="K20" s="83"/>
      <c r="L20" s="83"/>
      <c r="M20" s="82"/>
      <c r="N20" s="83"/>
    </row>
    <row r="21" spans="1:14" ht="140.1" customHeight="1">
      <c r="A21" s="15"/>
      <c r="B21" s="18"/>
      <c r="C21" s="31"/>
      <c r="D21" s="131"/>
      <c r="E21" s="131"/>
      <c r="F21" s="131"/>
      <c r="G21" s="19"/>
      <c r="H21" s="31"/>
      <c r="I21" s="20"/>
      <c r="J21" s="18"/>
      <c r="K21" s="21"/>
      <c r="L21" s="18"/>
      <c r="M21" s="22"/>
      <c r="N21" s="42"/>
    </row>
    <row r="22" spans="1:14" ht="12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</row>
    <row r="23" spans="1:14" ht="140.1" customHeight="1">
      <c r="A23" s="15"/>
      <c r="B23" s="18"/>
      <c r="C23" s="31"/>
      <c r="D23" s="131"/>
      <c r="E23" s="131"/>
      <c r="F23" s="131"/>
      <c r="G23" s="19"/>
      <c r="H23" s="18"/>
      <c r="I23" s="20"/>
      <c r="J23" s="18"/>
      <c r="K23" s="21"/>
      <c r="L23" s="18"/>
      <c r="M23" s="22"/>
      <c r="N23" s="42"/>
    </row>
    <row r="24" spans="1:14" ht="17.25" customHeight="1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</row>
    <row r="25" spans="1:14" ht="140.1" customHeight="1">
      <c r="A25" s="15"/>
      <c r="B25" s="18"/>
      <c r="C25" s="31"/>
      <c r="D25" s="131"/>
      <c r="E25" s="131"/>
      <c r="F25" s="131"/>
      <c r="G25" s="19"/>
      <c r="H25" s="19"/>
      <c r="I25" s="20"/>
      <c r="J25" s="18"/>
      <c r="K25" s="21"/>
      <c r="L25" s="18"/>
      <c r="M25" s="22"/>
      <c r="N25" s="28"/>
    </row>
    <row r="26" spans="1:14" ht="12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</row>
    <row r="27" spans="1:14" ht="140.1" customHeight="1">
      <c r="A27" s="15"/>
      <c r="B27" s="18"/>
      <c r="C27" s="31"/>
      <c r="D27" s="131"/>
      <c r="E27" s="131"/>
      <c r="F27" s="131"/>
      <c r="G27" s="19"/>
      <c r="H27" s="31"/>
      <c r="I27" s="20"/>
      <c r="J27" s="18"/>
      <c r="K27" s="21"/>
      <c r="L27" s="18"/>
      <c r="M27" s="22"/>
      <c r="N27" s="28"/>
    </row>
    <row r="28" spans="1:14" ht="12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</row>
    <row r="29" spans="1:14" ht="140.1" customHeight="1">
      <c r="A29" s="15"/>
      <c r="B29" s="18"/>
      <c r="C29" s="31"/>
      <c r="D29" s="131"/>
      <c r="E29" s="131"/>
      <c r="F29" s="131"/>
      <c r="G29" s="19"/>
      <c r="H29" s="31"/>
      <c r="I29" s="20"/>
      <c r="J29" s="18"/>
      <c r="K29" s="21"/>
      <c r="L29" s="18"/>
      <c r="M29" s="22"/>
      <c r="N29" s="42"/>
    </row>
    <row r="30" spans="1:14" ht="12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</row>
    <row r="31" spans="1:14" ht="140.1" customHeight="1">
      <c r="A31" s="15"/>
      <c r="B31" s="18"/>
      <c r="C31" s="31"/>
      <c r="D31" s="131"/>
      <c r="E31" s="131"/>
      <c r="F31" s="131"/>
      <c r="G31" s="19"/>
      <c r="H31" s="31"/>
      <c r="I31" s="20"/>
      <c r="J31" s="21"/>
      <c r="K31" s="21"/>
      <c r="L31" s="18"/>
      <c r="M31" s="22"/>
      <c r="N31" s="28"/>
    </row>
    <row r="32" spans="1:14" ht="21" customHeight="1">
      <c r="M32" s="1"/>
      <c r="N32" s="1"/>
    </row>
    <row r="33" spans="13:14" ht="125.25" customHeight="1">
      <c r="M33" s="1"/>
      <c r="N33" s="1"/>
    </row>
    <row r="34" spans="13:14" ht="12" customHeight="1">
      <c r="M34" s="1"/>
      <c r="N34" s="1"/>
    </row>
    <row r="35" spans="13:14" ht="106.5" customHeight="1">
      <c r="M35" s="1"/>
      <c r="N35" s="1"/>
    </row>
    <row r="36" spans="13:14" ht="12" customHeight="1">
      <c r="N36" s="1"/>
    </row>
    <row r="37" spans="13:14" ht="98.25" customHeight="1">
      <c r="N37" s="1"/>
    </row>
    <row r="38" spans="13:14" ht="12" customHeight="1"/>
    <row r="39" spans="13:14" ht="90" customHeight="1"/>
    <row r="40" spans="13:14" ht="24.75" customHeight="1">
      <c r="N40" s="1"/>
    </row>
    <row r="41" spans="13:14" ht="111.75" customHeight="1">
      <c r="N41" s="1"/>
    </row>
    <row r="42" spans="13:14" ht="17.25" customHeight="1">
      <c r="N42" s="1"/>
    </row>
    <row r="43" spans="13:14" ht="117.75" customHeight="1">
      <c r="N43" s="1"/>
    </row>
    <row r="44" spans="13:14" ht="12" customHeight="1">
      <c r="N44" s="1"/>
    </row>
    <row r="45" spans="13:14" ht="114" customHeight="1">
      <c r="N45" s="1"/>
    </row>
    <row r="46" spans="13:14" ht="12" customHeight="1">
      <c r="N46" s="1"/>
    </row>
    <row r="47" spans="13:14" ht="112.5" customHeight="1">
      <c r="N47" s="1"/>
    </row>
    <row r="48" spans="13:14" ht="12" customHeight="1">
      <c r="N48" s="1"/>
    </row>
    <row r="49" spans="13:13" s="1" customFormat="1" ht="114" customHeight="1">
      <c r="M49" s="5"/>
    </row>
    <row r="50" spans="13:13" s="1" customFormat="1" ht="12" customHeight="1">
      <c r="M50" s="5"/>
    </row>
    <row r="51" spans="13:13" s="1" customFormat="1" ht="122.25" customHeight="1">
      <c r="M51" s="5"/>
    </row>
    <row r="52" spans="13:13" s="1" customFormat="1" ht="12" customHeight="1">
      <c r="M52" s="5"/>
    </row>
    <row r="53" spans="13:13" s="1" customFormat="1" ht="112.5" customHeight="1">
      <c r="M53" s="5"/>
    </row>
    <row r="54" spans="13:13" s="1" customFormat="1" ht="16.5" customHeight="1">
      <c r="M54" s="5"/>
    </row>
    <row r="55" spans="13:13" s="1" customFormat="1" ht="87.75" customHeight="1">
      <c r="M55" s="5"/>
    </row>
    <row r="56" spans="13:13" s="1" customFormat="1">
      <c r="M56" s="5"/>
    </row>
    <row r="57" spans="13:13" s="1" customFormat="1" ht="87" customHeight="1">
      <c r="M57" s="5"/>
    </row>
    <row r="58" spans="13:13" s="1" customFormat="1" ht="21" customHeight="1">
      <c r="M58" s="5"/>
    </row>
    <row r="59" spans="13:13" s="1" customFormat="1" ht="107.25" customHeight="1">
      <c r="M59" s="5"/>
    </row>
    <row r="60" spans="13:13" s="1" customFormat="1">
      <c r="M60" s="5"/>
    </row>
    <row r="61" spans="13:13" s="1" customFormat="1" ht="78" customHeight="1">
      <c r="M61" s="5"/>
    </row>
    <row r="62" spans="13:13" s="1" customFormat="1">
      <c r="M62" s="5"/>
    </row>
    <row r="63" spans="13:13" s="1" customFormat="1" ht="54.75" customHeight="1">
      <c r="M63" s="5"/>
    </row>
    <row r="64" spans="13:13" s="1" customFormat="1" ht="14.25" customHeight="1">
      <c r="M64" s="5"/>
    </row>
    <row r="65" spans="13:13" s="1" customFormat="1" ht="72.75" customHeight="1">
      <c r="M65" s="5"/>
    </row>
    <row r="66" spans="13:13" s="1" customFormat="1" ht="14.25" customHeight="1">
      <c r="M66" s="5"/>
    </row>
    <row r="67" spans="13:13" s="1" customFormat="1" ht="62.25" customHeight="1">
      <c r="M67" s="5"/>
    </row>
    <row r="68" spans="13:13" s="1" customFormat="1" ht="19.5" customHeight="1">
      <c r="M68" s="5"/>
    </row>
    <row r="69" spans="13:13" s="1" customFormat="1" ht="63.75" customHeight="1">
      <c r="M69" s="5"/>
    </row>
    <row r="70" spans="13:13" s="1" customFormat="1">
      <c r="M70" s="5"/>
    </row>
    <row r="71" spans="13:13" s="1" customFormat="1" ht="59.25" customHeight="1">
      <c r="M71" s="5"/>
    </row>
    <row r="72" spans="13:13" s="1" customFormat="1">
      <c r="M72" s="5"/>
    </row>
    <row r="73" spans="13:13" s="1" customFormat="1" ht="56.25" customHeight="1">
      <c r="M73" s="5"/>
    </row>
    <row r="74" spans="13:13" s="1" customFormat="1">
      <c r="M74" s="5"/>
    </row>
    <row r="75" spans="13:13" s="1" customFormat="1" ht="75.75" customHeight="1">
      <c r="M75" s="5"/>
    </row>
    <row r="76" spans="13:13" s="1" customFormat="1" ht="15" customHeight="1">
      <c r="M76" s="5"/>
    </row>
    <row r="77" spans="13:13" s="1" customFormat="1" ht="59.25" customHeight="1">
      <c r="M77" s="5"/>
    </row>
    <row r="78" spans="13:13" s="1" customFormat="1">
      <c r="M78" s="5"/>
    </row>
    <row r="79" spans="13:13" s="1" customFormat="1" ht="62.25" customHeight="1">
      <c r="M79" s="5"/>
    </row>
    <row r="80" spans="13:13" s="1" customFormat="1">
      <c r="M80" s="5"/>
    </row>
    <row r="81" spans="13:13" s="1" customFormat="1" ht="72" customHeight="1">
      <c r="M81" s="5"/>
    </row>
    <row r="82" spans="13:13" s="1" customFormat="1">
      <c r="M82" s="5"/>
    </row>
    <row r="83" spans="13:13" s="1" customFormat="1" ht="52.5" customHeight="1">
      <c r="M83" s="5"/>
    </row>
    <row r="84" spans="13:13" s="1" customFormat="1">
      <c r="M84" s="5"/>
    </row>
    <row r="85" spans="13:13" s="1" customFormat="1" ht="55.5" customHeight="1">
      <c r="M85" s="5"/>
    </row>
    <row r="86" spans="13:13" s="1" customFormat="1" ht="24" customHeight="1">
      <c r="M86" s="5"/>
    </row>
    <row r="87" spans="13:13" s="1" customFormat="1" ht="69" customHeight="1">
      <c r="M87" s="5"/>
    </row>
    <row r="88" spans="13:13" s="1" customFormat="1">
      <c r="M88" s="5"/>
    </row>
    <row r="89" spans="13:13" s="1" customFormat="1" ht="64.5" customHeight="1">
      <c r="M89" s="5"/>
    </row>
    <row r="90" spans="13:13" s="1" customFormat="1">
      <c r="M90" s="5"/>
    </row>
    <row r="91" spans="13:13" s="1" customFormat="1" ht="76.5" customHeight="1">
      <c r="M91" s="5"/>
    </row>
    <row r="92" spans="13:13" s="1" customFormat="1">
      <c r="M92" s="5"/>
    </row>
    <row r="93" spans="13:13" s="1" customFormat="1" ht="77.25" customHeight="1">
      <c r="M93" s="5"/>
    </row>
    <row r="94" spans="13:13" s="1" customFormat="1">
      <c r="M94" s="5"/>
    </row>
    <row r="95" spans="13:13" s="1" customFormat="1" ht="82.5" customHeight="1">
      <c r="M95" s="5"/>
    </row>
    <row r="96" spans="13:13" s="1" customFormat="1">
      <c r="M96" s="5"/>
    </row>
    <row r="97" spans="14:14" ht="69" customHeight="1">
      <c r="N97" s="1"/>
    </row>
    <row r="99" spans="14:14" ht="71.25" customHeight="1"/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</sheetData>
  <mergeCells count="38">
    <mergeCell ref="A1:B2"/>
    <mergeCell ref="I1:N8"/>
    <mergeCell ref="B3:F3"/>
    <mergeCell ref="B4:F4"/>
    <mergeCell ref="B5:F5"/>
    <mergeCell ref="A8:D8"/>
    <mergeCell ref="A11:N11"/>
    <mergeCell ref="A9:A10"/>
    <mergeCell ref="B9:B10"/>
    <mergeCell ref="C9:C10"/>
    <mergeCell ref="D9:G10"/>
    <mergeCell ref="H9:H10"/>
    <mergeCell ref="I9:I10"/>
    <mergeCell ref="J9:J10"/>
    <mergeCell ref="K9:K10"/>
    <mergeCell ref="L9:L10"/>
    <mergeCell ref="M9:M10"/>
    <mergeCell ref="N9:N10"/>
    <mergeCell ref="A30:N30"/>
    <mergeCell ref="D31:F31"/>
    <mergeCell ref="D23:F23"/>
    <mergeCell ref="A12:N12"/>
    <mergeCell ref="D13:F13"/>
    <mergeCell ref="D14:F14"/>
    <mergeCell ref="D15:F15"/>
    <mergeCell ref="D16:F16"/>
    <mergeCell ref="D17:F17"/>
    <mergeCell ref="A18:N18"/>
    <mergeCell ref="D29:F29"/>
    <mergeCell ref="D19:F19"/>
    <mergeCell ref="D20:F20"/>
    <mergeCell ref="D21:F21"/>
    <mergeCell ref="A22:N22"/>
    <mergeCell ref="A24:N24"/>
    <mergeCell ref="D25:F25"/>
    <mergeCell ref="A26:N26"/>
    <mergeCell ref="D27:F27"/>
    <mergeCell ref="A28:N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zoomScale="80" zoomScaleNormal="80" workbookViewId="0">
      <selection activeCell="G19" sqref="G19"/>
    </sheetView>
  </sheetViews>
  <sheetFormatPr defaultColWidth="8.875" defaultRowHeight="14.25"/>
  <cols>
    <col min="1" max="1" width="8.875" style="1"/>
    <col min="2" max="2" width="24.125" style="1" customWidth="1"/>
    <col min="3" max="3" width="42.125" style="1" customWidth="1"/>
    <col min="4" max="7" width="10.625" style="1" customWidth="1"/>
    <col min="8" max="8" width="11.875" style="1" customWidth="1"/>
    <col min="9" max="9" width="11.625" style="1" customWidth="1"/>
    <col min="10" max="10" width="27.625" style="1" bestFit="1" customWidth="1"/>
    <col min="11" max="11" width="28.25" style="1" customWidth="1"/>
    <col min="12" max="12" width="9" style="1" bestFit="1" customWidth="1"/>
    <col min="13" max="13" width="8.875" style="1"/>
    <col min="14" max="14" width="8.875" style="1" customWidth="1"/>
    <col min="15" max="16384" width="8.875" style="1"/>
  </cols>
  <sheetData>
    <row r="1" spans="1:11" ht="15">
      <c r="A1" s="35"/>
      <c r="B1" s="35"/>
      <c r="C1" s="36"/>
      <c r="D1" s="36"/>
      <c r="E1" s="36"/>
      <c r="F1" s="36"/>
      <c r="G1" s="37"/>
    </row>
    <row r="2" spans="1:11" ht="21" thickBot="1">
      <c r="A2" s="35"/>
      <c r="B2" s="4" t="s">
        <v>41</v>
      </c>
      <c r="C2" s="36"/>
      <c r="D2" s="36"/>
      <c r="E2" s="36"/>
      <c r="F2" s="36"/>
      <c r="G2" s="37"/>
    </row>
    <row r="3" spans="1:11" ht="15.95" customHeight="1">
      <c r="B3" s="55" t="s">
        <v>42</v>
      </c>
      <c r="C3" s="56" t="s">
        <v>48</v>
      </c>
      <c r="D3" s="36"/>
      <c r="E3" s="36"/>
      <c r="F3" s="36"/>
      <c r="G3" s="37"/>
    </row>
    <row r="4" spans="1:11" ht="15.95" customHeight="1">
      <c r="B4" s="57" t="s">
        <v>43</v>
      </c>
      <c r="C4" s="160">
        <v>46221</v>
      </c>
    </row>
    <row r="5" spans="1:11" ht="15.95" customHeight="1">
      <c r="B5" s="85" t="s">
        <v>44</v>
      </c>
      <c r="C5" s="86">
        <f>COUNTIF('Test User Module'!$N$1:$N$200, "*Fail*") + COUNTIF('Test User Module'!$N$1:$N$200, "*Fail*") + COUNTIF('System Test '!$N$1:$N$200, "*Fail*")</f>
        <v>0</v>
      </c>
    </row>
    <row r="6" spans="1:11" ht="15.95" customHeight="1" thickBot="1">
      <c r="B6" s="58" t="s">
        <v>26</v>
      </c>
      <c r="C6" s="60"/>
    </row>
    <row r="8" spans="1:11" s="2" customFormat="1" ht="18" customHeight="1" thickBot="1">
      <c r="B8" s="1"/>
      <c r="C8" s="1"/>
    </row>
    <row r="9" spans="1:11" ht="18" customHeight="1">
      <c r="B9" s="38" t="s">
        <v>51</v>
      </c>
      <c r="C9" s="39" t="s">
        <v>23</v>
      </c>
      <c r="D9" s="40" t="s">
        <v>2</v>
      </c>
      <c r="E9" s="39" t="s">
        <v>0</v>
      </c>
      <c r="F9" s="39" t="s">
        <v>3</v>
      </c>
      <c r="G9" s="40" t="s">
        <v>6</v>
      </c>
      <c r="H9" s="39" t="s">
        <v>7</v>
      </c>
      <c r="I9" s="39" t="s">
        <v>8</v>
      </c>
      <c r="J9" s="40" t="s">
        <v>46</v>
      </c>
      <c r="K9" s="41" t="s">
        <v>47</v>
      </c>
    </row>
    <row r="10" spans="1:11" ht="18" customHeight="1">
      <c r="B10" s="87">
        <v>1</v>
      </c>
      <c r="C10" s="42" t="str">
        <f>'Test User Module'!B4</f>
        <v>User module</v>
      </c>
      <c r="D10" s="43">
        <f>'Test User Module'!$B$6</f>
        <v>0</v>
      </c>
      <c r="E10" s="28">
        <f>'Test User Module'!B7</f>
        <v>0</v>
      </c>
      <c r="F10" s="28">
        <f>'Test User Module'!F6</f>
        <v>0</v>
      </c>
      <c r="G10" s="43">
        <f>'Test User Module'!$D$6</f>
        <v>0</v>
      </c>
      <c r="H10" s="43">
        <f>'Test User Module'!$D$7</f>
        <v>0</v>
      </c>
      <c r="I10" s="28">
        <f>COUNTIF('Test User Module'!$L$9:$L$290,"Pending")</f>
        <v>0</v>
      </c>
      <c r="J10" s="43">
        <f>COUNTIFS('Test User Module'!A9:A200, "TC*", 'Test User Module'!A9:A200, "&lt;&gt;*AI")</f>
        <v>0</v>
      </c>
      <c r="K10" s="44">
        <f>'Test User Module'!$F$7</f>
        <v>0</v>
      </c>
    </row>
    <row r="11" spans="1:11" ht="18" customHeight="1">
      <c r="B11" s="88">
        <v>2</v>
      </c>
      <c r="C11" s="45" t="str">
        <f>'Test Temp Module'!B4</f>
        <v>Temp</v>
      </c>
      <c r="D11" s="43">
        <f>'Test Temp Module'!B6</f>
        <v>0</v>
      </c>
      <c r="E11" s="28">
        <f>'Test Temp Module'!B7</f>
        <v>0</v>
      </c>
      <c r="F11" s="43">
        <f>'Test Temp Module'!F6</f>
        <v>0</v>
      </c>
      <c r="G11" s="43">
        <f>'Test Temp Module'!$D$6</f>
        <v>0</v>
      </c>
      <c r="H11" s="43">
        <f>'Test Temp Module'!$D$7</f>
        <v>0</v>
      </c>
      <c r="I11" s="43">
        <f>COUNTIF('Test Temp Module'!$L$9:$L$292,"Pending")</f>
        <v>0</v>
      </c>
      <c r="J11" s="43">
        <f>COUNTIFS('Test Temp Module'!A9:A200, "TC*", 'Test Temp Module'!A9:A200, "&lt;&gt;*AI")</f>
        <v>0</v>
      </c>
      <c r="K11" s="44">
        <f>'Test Temp Module'!$F$7</f>
        <v>0</v>
      </c>
    </row>
    <row r="12" spans="1:11" ht="18" customHeight="1">
      <c r="B12" s="88">
        <v>3</v>
      </c>
      <c r="C12" s="45" t="str">
        <f>'System Test '!B4</f>
        <v>System test</v>
      </c>
      <c r="D12" s="43">
        <f>'System Test '!B6</f>
        <v>0</v>
      </c>
      <c r="E12" s="28">
        <f>'System Test '!B7</f>
        <v>0</v>
      </c>
      <c r="F12" s="43">
        <f>'System Test '!F6</f>
        <v>0</v>
      </c>
      <c r="G12" s="43">
        <f>'System Test '!$D$6</f>
        <v>0</v>
      </c>
      <c r="H12" s="43">
        <f>'System Test '!$D$7</f>
        <v>0</v>
      </c>
      <c r="I12" s="43">
        <f>COUNTIF('System Test '!$L$13:$L$200,"Pending")</f>
        <v>0</v>
      </c>
      <c r="J12" s="43">
        <f>COUNTIFS('System Test '!A9:A200, "TC*", 'System Test '!A9:A200, "&lt;&gt;*AI")</f>
        <v>0</v>
      </c>
      <c r="K12" s="44">
        <f>'System Test '!$F$7</f>
        <v>0</v>
      </c>
    </row>
    <row r="13" spans="1:11" ht="18" customHeight="1" thickBot="1">
      <c r="B13" s="46"/>
      <c r="C13" s="47" t="s">
        <v>32</v>
      </c>
      <c r="D13" s="47">
        <f t="shared" ref="D13:K13" si="0">SUM(D6:D12)</f>
        <v>0</v>
      </c>
      <c r="E13" s="47">
        <f t="shared" si="0"/>
        <v>0</v>
      </c>
      <c r="F13" s="47">
        <f t="shared" si="0"/>
        <v>0</v>
      </c>
      <c r="G13" s="47">
        <f t="shared" si="0"/>
        <v>0</v>
      </c>
      <c r="H13" s="47">
        <f t="shared" si="0"/>
        <v>0</v>
      </c>
      <c r="I13" s="47">
        <f t="shared" si="0"/>
        <v>0</v>
      </c>
      <c r="J13" s="47">
        <f t="shared" si="0"/>
        <v>0</v>
      </c>
      <c r="K13" s="59">
        <f t="shared" si="0"/>
        <v>0</v>
      </c>
    </row>
    <row r="14" spans="1:11" ht="18" customHeight="1"/>
    <row r="15" spans="1:11" ht="18" customHeight="1" thickBot="1"/>
    <row r="16" spans="1:11" ht="18" customHeight="1">
      <c r="B16" s="38" t="s">
        <v>51</v>
      </c>
      <c r="C16" s="39" t="s">
        <v>45</v>
      </c>
      <c r="D16" s="39" t="s">
        <v>10</v>
      </c>
      <c r="E16" s="48" t="s">
        <v>11</v>
      </c>
    </row>
    <row r="17" spans="2:5" ht="18" customHeight="1">
      <c r="B17" s="87">
        <v>1</v>
      </c>
      <c r="C17" s="45"/>
      <c r="D17" s="49" t="e">
        <f>ROUND((($D$13+$E$13)*100/$J$13)/100, 2)</f>
        <v>#DIV/0!</v>
      </c>
      <c r="E17" s="50" t="s">
        <v>12</v>
      </c>
    </row>
    <row r="18" spans="2:5" ht="18" customHeight="1">
      <c r="B18" s="88">
        <v>2</v>
      </c>
      <c r="C18" s="45"/>
      <c r="D18" s="49" t="e">
        <f>ROUND((($D$13)*100/$J$13)/100, 2)</f>
        <v>#DIV/0!</v>
      </c>
      <c r="E18" s="51" t="s">
        <v>12</v>
      </c>
    </row>
    <row r="19" spans="2:5" ht="18" customHeight="1">
      <c r="B19" s="88">
        <v>3</v>
      </c>
      <c r="C19" s="45"/>
      <c r="D19" s="49" t="e">
        <f>ROUND((($D$13+$E$13)*100/$K$13)/100, 2)</f>
        <v>#DIV/0!</v>
      </c>
      <c r="E19" s="50" t="e">
        <f>ROUND((($G$13+$H$13)*100/$K$13)/100, 2)</f>
        <v>#DIV/0!</v>
      </c>
    </row>
    <row r="20" spans="2:5" ht="18" customHeight="1" thickBot="1">
      <c r="B20" s="89">
        <v>4</v>
      </c>
      <c r="C20" s="52"/>
      <c r="D20" s="53" t="e">
        <f>ROUND((($D$13)*100/$K$13)/100, 2)</f>
        <v>#DIV/0!</v>
      </c>
      <c r="E20" s="54" t="e">
        <f>ROUND(($G$13*100/$K$13)/100, 2)</f>
        <v>#DIV/0!</v>
      </c>
    </row>
  </sheetData>
  <phoneticPr fontId="4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Cover</vt:lpstr>
      <vt:lpstr>Test User Module</vt:lpstr>
      <vt:lpstr>Test Temp Module</vt:lpstr>
      <vt:lpstr>System Test </vt:lpstr>
      <vt:lpstr>Test case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Caneld Kisune</cp:lastModifiedBy>
  <cp:lastPrinted>2026-05-12T15:39:09Z</cp:lastPrinted>
  <dcterms:created xsi:type="dcterms:W3CDTF">2002-07-27T17:17:25Z</dcterms:created>
  <dcterms:modified xsi:type="dcterms:W3CDTF">2026-07-18T09:28:54Z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